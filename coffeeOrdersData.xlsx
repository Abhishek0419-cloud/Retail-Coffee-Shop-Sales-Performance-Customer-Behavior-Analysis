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Q:\Data Analysis\Projects\Coffee Sales Analysis\"/>
    </mc:Choice>
  </mc:AlternateContent>
  <xr:revisionPtr revIDLastSave="0" documentId="13_ncr:1_{938AC497-9B65-4E80-830F-D3D59719E9D9}" xr6:coauthVersionLast="47" xr6:coauthVersionMax="47" xr10:uidLastSave="{00000000-0000-0000-0000-000000000000}"/>
  <bookViews>
    <workbookView xWindow="-108" yWindow="-108" windowWidth="23256" windowHeight="12456" firstSheet="6" activeTab="6" xr2:uid="{00000000-000D-0000-FFFF-FFFF00000000}"/>
  </bookViews>
  <sheets>
    <sheet name="CountryBarChart" sheetId="20" r:id="rId1"/>
    <sheet name="orders" sheetId="17" r:id="rId2"/>
    <sheet name="customers" sheetId="13" r:id="rId3"/>
    <sheet name="products" sheetId="2" r:id="rId4"/>
    <sheet name="TotalSales" sheetId="18" r:id="rId5"/>
    <sheet name="CountryBarChart (2)" sheetId="21" r:id="rId6"/>
    <sheet name="Dashboard" sheetId="23"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H7" i="17"/>
  <c r="L2" i="17"/>
  <c r="M3" i="17"/>
  <c r="M4" i="17"/>
  <c r="M7" i="17"/>
  <c r="M12" i="17"/>
  <c r="M15" i="17"/>
  <c r="M17" i="17"/>
  <c r="M19" i="17"/>
  <c r="M20" i="17"/>
  <c r="M21" i="17"/>
  <c r="M31" i="17"/>
  <c r="M36" i="17"/>
  <c r="M37" i="17"/>
  <c r="M38" i="17"/>
  <c r="M39" i="17"/>
  <c r="M45" i="17"/>
  <c r="M49" i="17"/>
  <c r="M53" i="17"/>
  <c r="M55" i="17"/>
  <c r="M61" i="17"/>
  <c r="M62" i="17"/>
  <c r="M63" i="17"/>
  <c r="M67" i="17"/>
  <c r="M77" i="17"/>
  <c r="M78" i="17"/>
  <c r="M79" i="17"/>
  <c r="M81" i="17"/>
  <c r="M85" i="17"/>
  <c r="M94" i="17"/>
  <c r="M95" i="17"/>
  <c r="M96" i="17"/>
  <c r="M97" i="17"/>
  <c r="M99" i="17"/>
  <c r="M103" i="17"/>
  <c r="M109" i="17"/>
  <c r="M111" i="17"/>
  <c r="M113" i="17"/>
  <c r="M115" i="17"/>
  <c r="M116" i="17"/>
  <c r="M117" i="17"/>
  <c r="M122" i="17"/>
  <c r="M123" i="17"/>
  <c r="M128" i="17"/>
  <c r="M129" i="17"/>
  <c r="M131" i="17"/>
  <c r="M132" i="17"/>
  <c r="M133" i="17"/>
  <c r="M135" i="17"/>
  <c r="M141" i="17"/>
  <c r="M143" i="17"/>
  <c r="M145" i="17"/>
  <c r="M147" i="17"/>
  <c r="M148" i="17"/>
  <c r="M149" i="17"/>
  <c r="M150" i="17"/>
  <c r="M158" i="17"/>
  <c r="M159" i="17"/>
  <c r="M164" i="17"/>
  <c r="M165" i="17"/>
  <c r="M167" i="17"/>
  <c r="M177" i="17"/>
  <c r="M181" i="17"/>
  <c r="M189" i="17"/>
  <c r="M190" i="17"/>
  <c r="M196" i="17"/>
  <c r="M203" i="17"/>
  <c r="M204" i="17"/>
  <c r="M205" i="17"/>
  <c r="M207" i="17"/>
  <c r="M213" i="17"/>
  <c r="M221" i="17"/>
  <c r="M222" i="17"/>
  <c r="M223" i="17"/>
  <c r="M229" i="17"/>
  <c r="M230" i="17"/>
  <c r="M234" i="17"/>
  <c r="M235" i="17"/>
  <c r="M239" i="17"/>
  <c r="M241" i="17"/>
  <c r="M247" i="17"/>
  <c r="M255" i="17"/>
  <c r="M257" i="17"/>
  <c r="M269" i="17"/>
  <c r="M271" i="17"/>
  <c r="M273" i="17"/>
  <c r="M276" i="17"/>
  <c r="M285" i="17"/>
  <c r="M286" i="17"/>
  <c r="M287" i="17"/>
  <c r="M288" i="17"/>
  <c r="M289" i="17"/>
  <c r="M293" i="17"/>
  <c r="M302" i="17"/>
  <c r="M303" i="17"/>
  <c r="M305" i="17"/>
  <c r="M308" i="17"/>
  <c r="M309" i="17"/>
  <c r="M310" i="17"/>
  <c r="M314" i="17"/>
  <c r="M315" i="17"/>
  <c r="M319" i="17"/>
  <c r="M321" i="17"/>
  <c r="M323" i="17"/>
  <c r="M324" i="17"/>
  <c r="M325" i="17"/>
  <c r="M335" i="17"/>
  <c r="M337" i="17"/>
  <c r="M339" i="17"/>
  <c r="M340" i="17"/>
  <c r="M341" i="17"/>
  <c r="M351" i="17"/>
  <c r="M353" i="17"/>
  <c r="M355" i="17"/>
  <c r="M356" i="17"/>
  <c r="M357" i="17"/>
  <c r="M363" i="17"/>
  <c r="M367" i="17"/>
  <c r="M368" i="17"/>
  <c r="M369" i="17"/>
  <c r="M372" i="17"/>
  <c r="M373" i="17"/>
  <c r="M383" i="17"/>
  <c r="M385" i="17"/>
  <c r="M387" i="17"/>
  <c r="M388" i="17"/>
  <c r="M389" i="17"/>
  <c r="M390" i="17"/>
  <c r="M399" i="17"/>
  <c r="M401" i="17"/>
  <c r="M403" i="17"/>
  <c r="M404" i="17"/>
  <c r="M405" i="17"/>
  <c r="M415" i="17"/>
  <c r="M417" i="17"/>
  <c r="M431" i="17"/>
  <c r="M433" i="17"/>
  <c r="M435" i="17"/>
  <c r="M436" i="17"/>
  <c r="M437" i="17"/>
  <c r="M438" i="17"/>
  <c r="M442" i="17"/>
  <c r="M443" i="17"/>
  <c r="M447" i="17"/>
  <c r="M449" i="17"/>
  <c r="M451" i="17"/>
  <c r="M452" i="17"/>
  <c r="M453" i="17"/>
  <c r="M463" i="17"/>
  <c r="M465" i="17"/>
  <c r="M478" i="17"/>
  <c r="M479" i="17"/>
  <c r="M481" i="17"/>
  <c r="M483" i="17"/>
  <c r="M484" i="17"/>
  <c r="M485" i="17"/>
  <c r="M486" i="17"/>
  <c r="M490" i="17"/>
  <c r="M495" i="17"/>
  <c r="M497" i="17"/>
  <c r="M499" i="17"/>
  <c r="M500" i="17"/>
  <c r="M501" i="17"/>
  <c r="M511" i="17"/>
  <c r="M513" i="17"/>
  <c r="M517" i="17"/>
  <c r="M527" i="17"/>
  <c r="M529" i="17"/>
  <c r="M531" i="17"/>
  <c r="M532" i="17"/>
  <c r="M533" i="17"/>
  <c r="M534" i="17"/>
  <c r="M543" i="17"/>
  <c r="M545" i="17"/>
  <c r="M547" i="17"/>
  <c r="M548" i="17"/>
  <c r="M549" i="17"/>
  <c r="M558" i="17"/>
  <c r="M559" i="17"/>
  <c r="M560" i="17"/>
  <c r="M561" i="17"/>
  <c r="M564" i="17"/>
  <c r="M565" i="17"/>
  <c r="M575" i="17"/>
  <c r="M577" i="17"/>
  <c r="M579" i="17"/>
  <c r="M580" i="17"/>
  <c r="M581" i="17"/>
  <c r="M591" i="17"/>
  <c r="M595" i="17"/>
  <c r="M596" i="17"/>
  <c r="M603" i="17"/>
  <c r="M606" i="17"/>
  <c r="M607" i="17"/>
  <c r="M611" i="17"/>
  <c r="M612" i="17"/>
  <c r="M613" i="17"/>
  <c r="M623" i="17"/>
  <c r="M627" i="17"/>
  <c r="M628" i="17"/>
  <c r="M639" i="17"/>
  <c r="M643" i="17"/>
  <c r="M645" i="17"/>
  <c r="M650" i="17"/>
  <c r="M651" i="17"/>
  <c r="M654" i="17"/>
  <c r="M655" i="17"/>
  <c r="M659" i="17"/>
  <c r="M660" i="17"/>
  <c r="M661" i="17"/>
  <c r="M671" i="17"/>
  <c r="M673" i="17"/>
  <c r="M675" i="17"/>
  <c r="M687" i="17"/>
  <c r="M692" i="17"/>
  <c r="M693" i="17"/>
  <c r="M694" i="17"/>
  <c r="M698" i="17"/>
  <c r="M699" i="17"/>
  <c r="M703" i="17"/>
  <c r="M707" i="17"/>
  <c r="M708" i="17"/>
  <c r="M709" i="17"/>
  <c r="M719" i="17"/>
  <c r="M735" i="17"/>
  <c r="M739" i="17"/>
  <c r="M740" i="17"/>
  <c r="M741" i="17"/>
  <c r="M742" i="17"/>
  <c r="M746" i="17"/>
  <c r="M751" i="17"/>
  <c r="M755" i="17"/>
  <c r="M756" i="17"/>
  <c r="M757" i="17"/>
  <c r="M767" i="17"/>
  <c r="M769" i="17"/>
  <c r="M773" i="17"/>
  <c r="M783" i="17"/>
  <c r="M787" i="17"/>
  <c r="M788" i="17"/>
  <c r="M789" i="17"/>
  <c r="M790" i="17"/>
  <c r="M799" i="17"/>
  <c r="M803" i="17"/>
  <c r="M804" i="17"/>
  <c r="M805" i="17"/>
  <c r="M814" i="17"/>
  <c r="M815" i="17"/>
  <c r="M816" i="17"/>
  <c r="M820" i="17"/>
  <c r="M821" i="17"/>
  <c r="M831" i="17"/>
  <c r="M835" i="17"/>
  <c r="M836" i="17"/>
  <c r="M837" i="17"/>
  <c r="M847" i="17"/>
  <c r="M851" i="17"/>
  <c r="M852" i="17"/>
  <c r="M859" i="17"/>
  <c r="M862" i="17"/>
  <c r="M863" i="17"/>
  <c r="M867" i="17"/>
  <c r="M868" i="17"/>
  <c r="M869" i="17"/>
  <c r="M883" i="17"/>
  <c r="M884" i="17"/>
  <c r="M895" i="17"/>
  <c r="M899" i="17"/>
  <c r="M901" i="17"/>
  <c r="M906" i="17"/>
  <c r="M907" i="17"/>
  <c r="M910" i="17"/>
  <c r="M915" i="17"/>
  <c r="M916" i="17"/>
  <c r="M917" i="17"/>
  <c r="M931" i="17"/>
  <c r="M943" i="17"/>
  <c r="M948" i="17"/>
  <c r="M949" i="17"/>
  <c r="M950" i="17"/>
  <c r="M954" i="17"/>
  <c r="M955" i="17"/>
  <c r="M963" i="17"/>
  <c r="M964" i="17"/>
  <c r="M965" i="17"/>
  <c r="M991" i="17"/>
  <c r="M995" i="17"/>
  <c r="M996" i="17"/>
  <c r="M997" i="17"/>
  <c r="M998" i="17"/>
  <c r="M2" i="17"/>
  <c r="L3" i="17"/>
  <c r="L4" i="17"/>
  <c r="L5" i="17"/>
  <c r="M5" i="17" s="1"/>
  <c r="L6" i="17"/>
  <c r="M6" i="17" s="1"/>
  <c r="L7" i="17"/>
  <c r="L8" i="17"/>
  <c r="M8" i="17" s="1"/>
  <c r="L9" i="17"/>
  <c r="M9" i="17" s="1"/>
  <c r="L10" i="17"/>
  <c r="M10" i="17" s="1"/>
  <c r="L11" i="17"/>
  <c r="M11" i="17" s="1"/>
  <c r="L12" i="17"/>
  <c r="L13" i="17"/>
  <c r="M13" i="17" s="1"/>
  <c r="L14" i="17"/>
  <c r="M14" i="17" s="1"/>
  <c r="L15" i="17"/>
  <c r="L16" i="17"/>
  <c r="M16" i="17" s="1"/>
  <c r="L17" i="17"/>
  <c r="L18" i="17"/>
  <c r="M18" i="17" s="1"/>
  <c r="L19" i="17"/>
  <c r="L20" i="17"/>
  <c r="L21" i="17"/>
  <c r="L22" i="17"/>
  <c r="M22" i="17" s="1"/>
  <c r="L23" i="17"/>
  <c r="M23" i="17" s="1"/>
  <c r="L24" i="17"/>
  <c r="M24" i="17" s="1"/>
  <c r="L25" i="17"/>
  <c r="M25" i="17" s="1"/>
  <c r="L26" i="17"/>
  <c r="M26" i="17" s="1"/>
  <c r="L27" i="17"/>
  <c r="M27" i="17" s="1"/>
  <c r="L28" i="17"/>
  <c r="M28" i="17" s="1"/>
  <c r="L29" i="17"/>
  <c r="M29" i="17" s="1"/>
  <c r="L30" i="17"/>
  <c r="M30" i="17" s="1"/>
  <c r="L31" i="17"/>
  <c r="L32" i="17"/>
  <c r="M32" i="17" s="1"/>
  <c r="L33" i="17"/>
  <c r="M33" i="17" s="1"/>
  <c r="L34" i="17"/>
  <c r="M34" i="17" s="1"/>
  <c r="L35" i="17"/>
  <c r="M35" i="17" s="1"/>
  <c r="L36" i="17"/>
  <c r="L37" i="17"/>
  <c r="L38" i="17"/>
  <c r="L39" i="17"/>
  <c r="L40" i="17"/>
  <c r="M40" i="17" s="1"/>
  <c r="L41" i="17"/>
  <c r="M41" i="17" s="1"/>
  <c r="L42" i="17"/>
  <c r="M42" i="17" s="1"/>
  <c r="L43" i="17"/>
  <c r="M43" i="17" s="1"/>
  <c r="L44" i="17"/>
  <c r="M44" i="17" s="1"/>
  <c r="L45" i="17"/>
  <c r="L46" i="17"/>
  <c r="M46" i="17" s="1"/>
  <c r="L47" i="17"/>
  <c r="M47" i="17" s="1"/>
  <c r="L48" i="17"/>
  <c r="M48" i="17" s="1"/>
  <c r="L49" i="17"/>
  <c r="L50" i="17"/>
  <c r="M50" i="17" s="1"/>
  <c r="L51" i="17"/>
  <c r="M51" i="17" s="1"/>
  <c r="L52" i="17"/>
  <c r="M52" i="17" s="1"/>
  <c r="L53" i="17"/>
  <c r="L54" i="17"/>
  <c r="M54" i="17" s="1"/>
  <c r="L55" i="17"/>
  <c r="L56" i="17"/>
  <c r="M56" i="17" s="1"/>
  <c r="L57" i="17"/>
  <c r="M57" i="17" s="1"/>
  <c r="L58" i="17"/>
  <c r="M58" i="17" s="1"/>
  <c r="L59" i="17"/>
  <c r="M59" i="17" s="1"/>
  <c r="L60" i="17"/>
  <c r="M60" i="17" s="1"/>
  <c r="L61" i="17"/>
  <c r="L62" i="17"/>
  <c r="L63" i="17"/>
  <c r="L64" i="17"/>
  <c r="M64" i="17" s="1"/>
  <c r="L65" i="17"/>
  <c r="M65" i="17" s="1"/>
  <c r="L66" i="17"/>
  <c r="M66" i="17" s="1"/>
  <c r="L67" i="17"/>
  <c r="L68" i="17"/>
  <c r="M68" i="17" s="1"/>
  <c r="L69" i="17"/>
  <c r="M69" i="17" s="1"/>
  <c r="L70" i="17"/>
  <c r="M70" i="17" s="1"/>
  <c r="L71" i="17"/>
  <c r="M71" i="17" s="1"/>
  <c r="L72" i="17"/>
  <c r="M72" i="17" s="1"/>
  <c r="L73" i="17"/>
  <c r="M73" i="17" s="1"/>
  <c r="L74" i="17"/>
  <c r="M74" i="17" s="1"/>
  <c r="L75" i="17"/>
  <c r="M75" i="17" s="1"/>
  <c r="L76" i="17"/>
  <c r="M76" i="17" s="1"/>
  <c r="L77" i="17"/>
  <c r="L78" i="17"/>
  <c r="L79" i="17"/>
  <c r="L80" i="17"/>
  <c r="M80" i="17" s="1"/>
  <c r="L81" i="17"/>
  <c r="L82" i="17"/>
  <c r="M82" i="17" s="1"/>
  <c r="L83" i="17"/>
  <c r="M83" i="17" s="1"/>
  <c r="L84" i="17"/>
  <c r="M84" i="17" s="1"/>
  <c r="L85" i="17"/>
  <c r="L86" i="17"/>
  <c r="M86" i="17" s="1"/>
  <c r="L87" i="17"/>
  <c r="M87" i="17" s="1"/>
  <c r="L88" i="17"/>
  <c r="M88" i="17" s="1"/>
  <c r="L89" i="17"/>
  <c r="M89" i="17" s="1"/>
  <c r="L90" i="17"/>
  <c r="M90" i="17" s="1"/>
  <c r="L91" i="17"/>
  <c r="M91" i="17" s="1"/>
  <c r="L92" i="17"/>
  <c r="M92" i="17" s="1"/>
  <c r="L93" i="17"/>
  <c r="M93" i="17" s="1"/>
  <c r="L94" i="17"/>
  <c r="L95" i="17"/>
  <c r="L96" i="17"/>
  <c r="L97" i="17"/>
  <c r="L98" i="17"/>
  <c r="M98" i="17" s="1"/>
  <c r="L99" i="17"/>
  <c r="L100" i="17"/>
  <c r="M100" i="17" s="1"/>
  <c r="L101" i="17"/>
  <c r="M101" i="17" s="1"/>
  <c r="L102" i="17"/>
  <c r="M102" i="17" s="1"/>
  <c r="L103" i="17"/>
  <c r="L104" i="17"/>
  <c r="M104" i="17" s="1"/>
  <c r="L105" i="17"/>
  <c r="M105" i="17" s="1"/>
  <c r="L106" i="17"/>
  <c r="M106" i="17" s="1"/>
  <c r="L107" i="17"/>
  <c r="M107" i="17" s="1"/>
  <c r="L108" i="17"/>
  <c r="M108" i="17" s="1"/>
  <c r="L109" i="17"/>
  <c r="L110" i="17"/>
  <c r="M110" i="17" s="1"/>
  <c r="L111" i="17"/>
  <c r="L112" i="17"/>
  <c r="M112" i="17" s="1"/>
  <c r="L113" i="17"/>
  <c r="L114" i="17"/>
  <c r="M114" i="17" s="1"/>
  <c r="L115" i="17"/>
  <c r="L116" i="17"/>
  <c r="L117" i="17"/>
  <c r="L118" i="17"/>
  <c r="M118" i="17" s="1"/>
  <c r="L119" i="17"/>
  <c r="M119" i="17" s="1"/>
  <c r="L120" i="17"/>
  <c r="M120" i="17" s="1"/>
  <c r="L121" i="17"/>
  <c r="M121" i="17" s="1"/>
  <c r="L122" i="17"/>
  <c r="L123" i="17"/>
  <c r="L124" i="17"/>
  <c r="M124" i="17" s="1"/>
  <c r="L125" i="17"/>
  <c r="M125" i="17" s="1"/>
  <c r="L126" i="17"/>
  <c r="M126" i="17" s="1"/>
  <c r="L127" i="17"/>
  <c r="M127" i="17" s="1"/>
  <c r="L128" i="17"/>
  <c r="L129" i="17"/>
  <c r="L130" i="17"/>
  <c r="M130" i="17" s="1"/>
  <c r="L131" i="17"/>
  <c r="L132" i="17"/>
  <c r="L133" i="17"/>
  <c r="L134" i="17"/>
  <c r="M134" i="17" s="1"/>
  <c r="L135" i="17"/>
  <c r="L136" i="17"/>
  <c r="M136" i="17" s="1"/>
  <c r="L137" i="17"/>
  <c r="M137" i="17" s="1"/>
  <c r="L138" i="17"/>
  <c r="M138" i="17" s="1"/>
  <c r="L139" i="17"/>
  <c r="M139" i="17" s="1"/>
  <c r="L140" i="17"/>
  <c r="M140" i="17" s="1"/>
  <c r="L141" i="17"/>
  <c r="L142" i="17"/>
  <c r="M142" i="17" s="1"/>
  <c r="L143" i="17"/>
  <c r="L144" i="17"/>
  <c r="M144" i="17" s="1"/>
  <c r="L145" i="17"/>
  <c r="L146" i="17"/>
  <c r="M146" i="17" s="1"/>
  <c r="L147" i="17"/>
  <c r="L148" i="17"/>
  <c r="L149" i="17"/>
  <c r="L150" i="17"/>
  <c r="L151" i="17"/>
  <c r="M151" i="17" s="1"/>
  <c r="L152" i="17"/>
  <c r="M152" i="17" s="1"/>
  <c r="L153" i="17"/>
  <c r="M153" i="17" s="1"/>
  <c r="L154" i="17"/>
  <c r="M154" i="17" s="1"/>
  <c r="L155" i="17"/>
  <c r="M155" i="17" s="1"/>
  <c r="L156" i="17"/>
  <c r="M156" i="17" s="1"/>
  <c r="L157" i="17"/>
  <c r="M157" i="17" s="1"/>
  <c r="L158" i="17"/>
  <c r="L159" i="17"/>
  <c r="L160" i="17"/>
  <c r="M160" i="17" s="1"/>
  <c r="L161" i="17"/>
  <c r="M161" i="17" s="1"/>
  <c r="L162" i="17"/>
  <c r="M162" i="17" s="1"/>
  <c r="L163" i="17"/>
  <c r="M163" i="17" s="1"/>
  <c r="L164" i="17"/>
  <c r="L165" i="17"/>
  <c r="L166" i="17"/>
  <c r="M166" i="17" s="1"/>
  <c r="L167" i="17"/>
  <c r="L168" i="17"/>
  <c r="M168" i="17" s="1"/>
  <c r="L169" i="17"/>
  <c r="M169" i="17" s="1"/>
  <c r="L170" i="17"/>
  <c r="M170" i="17" s="1"/>
  <c r="L171" i="17"/>
  <c r="M171" i="17" s="1"/>
  <c r="L172" i="17"/>
  <c r="M172" i="17" s="1"/>
  <c r="L173" i="17"/>
  <c r="M173" i="17" s="1"/>
  <c r="L174" i="17"/>
  <c r="M174" i="17" s="1"/>
  <c r="L175" i="17"/>
  <c r="M175" i="17" s="1"/>
  <c r="L176" i="17"/>
  <c r="M176" i="17" s="1"/>
  <c r="L177" i="17"/>
  <c r="L178" i="17"/>
  <c r="M178" i="17" s="1"/>
  <c r="L179" i="17"/>
  <c r="M179" i="17" s="1"/>
  <c r="L180" i="17"/>
  <c r="M180" i="17" s="1"/>
  <c r="L181" i="17"/>
  <c r="L182" i="17"/>
  <c r="M182" i="17" s="1"/>
  <c r="L183" i="17"/>
  <c r="M183" i="17" s="1"/>
  <c r="L184" i="17"/>
  <c r="M184" i="17" s="1"/>
  <c r="L185" i="17"/>
  <c r="M185" i="17" s="1"/>
  <c r="L186" i="17"/>
  <c r="M186" i="17" s="1"/>
  <c r="L187" i="17"/>
  <c r="M187" i="17" s="1"/>
  <c r="L188" i="17"/>
  <c r="M188" i="17" s="1"/>
  <c r="L189" i="17"/>
  <c r="L190" i="17"/>
  <c r="L191" i="17"/>
  <c r="M191" i="17" s="1"/>
  <c r="L192" i="17"/>
  <c r="M192" i="17" s="1"/>
  <c r="L193" i="17"/>
  <c r="M193" i="17" s="1"/>
  <c r="L194" i="17"/>
  <c r="M194" i="17" s="1"/>
  <c r="L195" i="17"/>
  <c r="M195" i="17" s="1"/>
  <c r="L196" i="17"/>
  <c r="L197" i="17"/>
  <c r="M197" i="17" s="1"/>
  <c r="L198" i="17"/>
  <c r="M198" i="17" s="1"/>
  <c r="L199" i="17"/>
  <c r="M199" i="17" s="1"/>
  <c r="L200" i="17"/>
  <c r="M200" i="17" s="1"/>
  <c r="L201" i="17"/>
  <c r="M201" i="17" s="1"/>
  <c r="L202" i="17"/>
  <c r="M202" i="17" s="1"/>
  <c r="L203" i="17"/>
  <c r="L204" i="17"/>
  <c r="L205" i="17"/>
  <c r="L206" i="17"/>
  <c r="M206" i="17" s="1"/>
  <c r="L207" i="17"/>
  <c r="L208" i="17"/>
  <c r="M208" i="17" s="1"/>
  <c r="L209" i="17"/>
  <c r="M209" i="17" s="1"/>
  <c r="L210" i="17"/>
  <c r="M210" i="17" s="1"/>
  <c r="L211" i="17"/>
  <c r="M211" i="17" s="1"/>
  <c r="L212" i="17"/>
  <c r="M212" i="17" s="1"/>
  <c r="L213" i="17"/>
  <c r="L214" i="17"/>
  <c r="M214" i="17" s="1"/>
  <c r="L215" i="17"/>
  <c r="M215" i="17" s="1"/>
  <c r="L216" i="17"/>
  <c r="M216" i="17" s="1"/>
  <c r="L217" i="17"/>
  <c r="M217" i="17" s="1"/>
  <c r="L218" i="17"/>
  <c r="M218" i="17" s="1"/>
  <c r="L219" i="17"/>
  <c r="M219" i="17" s="1"/>
  <c r="L220" i="17"/>
  <c r="M220" i="17" s="1"/>
  <c r="L221" i="17"/>
  <c r="L222" i="17"/>
  <c r="L223" i="17"/>
  <c r="L224" i="17"/>
  <c r="M224" i="17" s="1"/>
  <c r="L225" i="17"/>
  <c r="M225" i="17" s="1"/>
  <c r="L226" i="17"/>
  <c r="M226" i="17" s="1"/>
  <c r="L227" i="17"/>
  <c r="M227" i="17" s="1"/>
  <c r="L228" i="17"/>
  <c r="M228" i="17" s="1"/>
  <c r="L229" i="17"/>
  <c r="L230" i="17"/>
  <c r="L231" i="17"/>
  <c r="M231" i="17" s="1"/>
  <c r="L232" i="17"/>
  <c r="M232" i="17" s="1"/>
  <c r="L233" i="17"/>
  <c r="M233" i="17" s="1"/>
  <c r="L234" i="17"/>
  <c r="L235" i="17"/>
  <c r="L236" i="17"/>
  <c r="M236" i="17" s="1"/>
  <c r="L237" i="17"/>
  <c r="M237" i="17" s="1"/>
  <c r="L238" i="17"/>
  <c r="M238" i="17" s="1"/>
  <c r="L239" i="17"/>
  <c r="L240" i="17"/>
  <c r="M240" i="17" s="1"/>
  <c r="L241" i="17"/>
  <c r="L242" i="17"/>
  <c r="M242" i="17" s="1"/>
  <c r="L243" i="17"/>
  <c r="M243" i="17" s="1"/>
  <c r="L244" i="17"/>
  <c r="M244" i="17" s="1"/>
  <c r="L245" i="17"/>
  <c r="M245" i="17" s="1"/>
  <c r="L246" i="17"/>
  <c r="M246" i="17" s="1"/>
  <c r="L247" i="17"/>
  <c r="L248" i="17"/>
  <c r="M248" i="17" s="1"/>
  <c r="L249" i="17"/>
  <c r="M249" i="17" s="1"/>
  <c r="L250" i="17"/>
  <c r="M250" i="17" s="1"/>
  <c r="L251" i="17"/>
  <c r="M251" i="17" s="1"/>
  <c r="L252" i="17"/>
  <c r="M252" i="17" s="1"/>
  <c r="L253" i="17"/>
  <c r="M253" i="17" s="1"/>
  <c r="L254" i="17"/>
  <c r="M254" i="17" s="1"/>
  <c r="L255" i="17"/>
  <c r="L256" i="17"/>
  <c r="M256" i="17" s="1"/>
  <c r="L257" i="17"/>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L270" i="17"/>
  <c r="M270" i="17" s="1"/>
  <c r="L271" i="17"/>
  <c r="L272" i="17"/>
  <c r="M272" i="17" s="1"/>
  <c r="L273" i="17"/>
  <c r="L274" i="17"/>
  <c r="M274" i="17" s="1"/>
  <c r="L275" i="17"/>
  <c r="M275" i="17" s="1"/>
  <c r="L276" i="17"/>
  <c r="L277" i="17"/>
  <c r="M277" i="17" s="1"/>
  <c r="L278" i="17"/>
  <c r="M278" i="17" s="1"/>
  <c r="L279" i="17"/>
  <c r="M279" i="17" s="1"/>
  <c r="L280" i="17"/>
  <c r="M280" i="17" s="1"/>
  <c r="L281" i="17"/>
  <c r="M281" i="17" s="1"/>
  <c r="L282" i="17"/>
  <c r="M282" i="17" s="1"/>
  <c r="L283" i="17"/>
  <c r="M283" i="17" s="1"/>
  <c r="L284" i="17"/>
  <c r="M284" i="17" s="1"/>
  <c r="L285" i="17"/>
  <c r="L286" i="17"/>
  <c r="L287" i="17"/>
  <c r="L288" i="17"/>
  <c r="L289" i="17"/>
  <c r="L290" i="17"/>
  <c r="M290" i="17" s="1"/>
  <c r="L291" i="17"/>
  <c r="M291" i="17" s="1"/>
  <c r="L292" i="17"/>
  <c r="M292" i="17" s="1"/>
  <c r="L293" i="17"/>
  <c r="L294" i="17"/>
  <c r="M294" i="17" s="1"/>
  <c r="L295" i="17"/>
  <c r="M295" i="17" s="1"/>
  <c r="L296" i="17"/>
  <c r="M296" i="17" s="1"/>
  <c r="L297" i="17"/>
  <c r="M297" i="17" s="1"/>
  <c r="L298" i="17"/>
  <c r="M298" i="17" s="1"/>
  <c r="L299" i="17"/>
  <c r="M299" i="17" s="1"/>
  <c r="L300" i="17"/>
  <c r="M300" i="17" s="1"/>
  <c r="L301" i="17"/>
  <c r="M301" i="17" s="1"/>
  <c r="L302" i="17"/>
  <c r="L303" i="17"/>
  <c r="L304" i="17"/>
  <c r="M304" i="17" s="1"/>
  <c r="L305" i="17"/>
  <c r="L306" i="17"/>
  <c r="M306" i="17" s="1"/>
  <c r="L307" i="17"/>
  <c r="M307" i="17" s="1"/>
  <c r="L308" i="17"/>
  <c r="L309" i="17"/>
  <c r="L310" i="17"/>
  <c r="L311" i="17"/>
  <c r="M311" i="17" s="1"/>
  <c r="L312" i="17"/>
  <c r="M312" i="17" s="1"/>
  <c r="L313" i="17"/>
  <c r="M313" i="17" s="1"/>
  <c r="L314" i="17"/>
  <c r="L315" i="17"/>
  <c r="L316" i="17"/>
  <c r="M316" i="17" s="1"/>
  <c r="L317" i="17"/>
  <c r="M317" i="17" s="1"/>
  <c r="L318" i="17"/>
  <c r="M318" i="17" s="1"/>
  <c r="L319" i="17"/>
  <c r="L320" i="17"/>
  <c r="M320" i="17" s="1"/>
  <c r="L321" i="17"/>
  <c r="L322" i="17"/>
  <c r="M322" i="17" s="1"/>
  <c r="L323" i="17"/>
  <c r="L324" i="17"/>
  <c r="L325" i="17"/>
  <c r="L326" i="17"/>
  <c r="M326" i="17" s="1"/>
  <c r="L327" i="17"/>
  <c r="M327" i="17" s="1"/>
  <c r="L328" i="17"/>
  <c r="M328" i="17" s="1"/>
  <c r="L329" i="17"/>
  <c r="M329" i="17" s="1"/>
  <c r="L330" i="17"/>
  <c r="M330" i="17" s="1"/>
  <c r="L331" i="17"/>
  <c r="M331" i="17" s="1"/>
  <c r="L332" i="17"/>
  <c r="M332" i="17" s="1"/>
  <c r="L333" i="17"/>
  <c r="M333" i="17" s="1"/>
  <c r="L334" i="17"/>
  <c r="M334" i="17" s="1"/>
  <c r="L335" i="17"/>
  <c r="L336" i="17"/>
  <c r="M336" i="17" s="1"/>
  <c r="L337" i="17"/>
  <c r="L338" i="17"/>
  <c r="M338" i="17" s="1"/>
  <c r="L339" i="17"/>
  <c r="L340" i="17"/>
  <c r="L341" i="17"/>
  <c r="L342" i="17"/>
  <c r="M342" i="17" s="1"/>
  <c r="L343" i="17"/>
  <c r="M343" i="17" s="1"/>
  <c r="L344" i="17"/>
  <c r="M344" i="17" s="1"/>
  <c r="L345" i="17"/>
  <c r="M345" i="17" s="1"/>
  <c r="L346" i="17"/>
  <c r="M346" i="17" s="1"/>
  <c r="L347" i="17"/>
  <c r="M347" i="17" s="1"/>
  <c r="L348" i="17"/>
  <c r="M348" i="17" s="1"/>
  <c r="L349" i="17"/>
  <c r="M349" i="17" s="1"/>
  <c r="L350" i="17"/>
  <c r="M350" i="17" s="1"/>
  <c r="L351" i="17"/>
  <c r="L352" i="17"/>
  <c r="M352" i="17" s="1"/>
  <c r="L353" i="17"/>
  <c r="L354" i="17"/>
  <c r="M354" i="17" s="1"/>
  <c r="L355" i="17"/>
  <c r="L356" i="17"/>
  <c r="L357" i="17"/>
  <c r="L358" i="17"/>
  <c r="M358" i="17" s="1"/>
  <c r="L359" i="17"/>
  <c r="M359" i="17" s="1"/>
  <c r="L360" i="17"/>
  <c r="M360" i="17" s="1"/>
  <c r="L361" i="17"/>
  <c r="M361" i="17" s="1"/>
  <c r="L362" i="17"/>
  <c r="M362" i="17" s="1"/>
  <c r="L363" i="17"/>
  <c r="L364" i="17"/>
  <c r="M364" i="17" s="1"/>
  <c r="L365" i="17"/>
  <c r="M365" i="17" s="1"/>
  <c r="L366" i="17"/>
  <c r="M366" i="17" s="1"/>
  <c r="L367" i="17"/>
  <c r="L368" i="17"/>
  <c r="L369" i="17"/>
  <c r="L370" i="17"/>
  <c r="M370" i="17" s="1"/>
  <c r="L371" i="17"/>
  <c r="M371" i="17" s="1"/>
  <c r="L372" i="17"/>
  <c r="L373" i="17"/>
  <c r="L374" i="17"/>
  <c r="M374" i="17" s="1"/>
  <c r="L375" i="17"/>
  <c r="M375" i="17" s="1"/>
  <c r="L376" i="17"/>
  <c r="M376" i="17" s="1"/>
  <c r="L377" i="17"/>
  <c r="M377" i="17" s="1"/>
  <c r="L378" i="17"/>
  <c r="M378" i="17" s="1"/>
  <c r="L379" i="17"/>
  <c r="M379" i="17" s="1"/>
  <c r="L380" i="17"/>
  <c r="M380" i="17" s="1"/>
  <c r="L381" i="17"/>
  <c r="M381" i="17" s="1"/>
  <c r="L382" i="17"/>
  <c r="M382" i="17" s="1"/>
  <c r="L383" i="17"/>
  <c r="L384" i="17"/>
  <c r="M384" i="17" s="1"/>
  <c r="L385" i="17"/>
  <c r="L386" i="17"/>
  <c r="M386" i="17" s="1"/>
  <c r="L387" i="17"/>
  <c r="L388" i="17"/>
  <c r="L389" i="17"/>
  <c r="L390" i="17"/>
  <c r="L391" i="17"/>
  <c r="M391" i="17" s="1"/>
  <c r="L392" i="17"/>
  <c r="M392" i="17" s="1"/>
  <c r="L393" i="17"/>
  <c r="M393" i="17" s="1"/>
  <c r="L394" i="17"/>
  <c r="M394" i="17" s="1"/>
  <c r="L395" i="17"/>
  <c r="M395" i="17" s="1"/>
  <c r="L396" i="17"/>
  <c r="M396" i="17" s="1"/>
  <c r="L397" i="17"/>
  <c r="M397" i="17" s="1"/>
  <c r="L398" i="17"/>
  <c r="M398" i="17" s="1"/>
  <c r="L399" i="17"/>
  <c r="L400" i="17"/>
  <c r="M400" i="17" s="1"/>
  <c r="L401" i="17"/>
  <c r="L402" i="17"/>
  <c r="M402" i="17" s="1"/>
  <c r="L403" i="17"/>
  <c r="L404" i="17"/>
  <c r="L405" i="17"/>
  <c r="L406" i="17"/>
  <c r="M406" i="17" s="1"/>
  <c r="L407" i="17"/>
  <c r="M407" i="17" s="1"/>
  <c r="L408" i="17"/>
  <c r="M408" i="17" s="1"/>
  <c r="L409" i="17"/>
  <c r="M409" i="17" s="1"/>
  <c r="L410" i="17"/>
  <c r="M410" i="17" s="1"/>
  <c r="L411" i="17"/>
  <c r="M411" i="17" s="1"/>
  <c r="L412" i="17"/>
  <c r="M412" i="17" s="1"/>
  <c r="L413" i="17"/>
  <c r="M413" i="17" s="1"/>
  <c r="L414" i="17"/>
  <c r="M414" i="17" s="1"/>
  <c r="L415" i="17"/>
  <c r="L416" i="17"/>
  <c r="M416" i="17" s="1"/>
  <c r="L417" i="17"/>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L432" i="17"/>
  <c r="M432" i="17" s="1"/>
  <c r="L433" i="17"/>
  <c r="L434" i="17"/>
  <c r="M434" i="17" s="1"/>
  <c r="L435" i="17"/>
  <c r="L436" i="17"/>
  <c r="L437" i="17"/>
  <c r="L438" i="17"/>
  <c r="L439" i="17"/>
  <c r="M439" i="17" s="1"/>
  <c r="L440" i="17"/>
  <c r="M440" i="17" s="1"/>
  <c r="L441" i="17"/>
  <c r="M441" i="17" s="1"/>
  <c r="L442" i="17"/>
  <c r="L443" i="17"/>
  <c r="L444" i="17"/>
  <c r="M444" i="17" s="1"/>
  <c r="L445" i="17"/>
  <c r="M445" i="17" s="1"/>
  <c r="L446" i="17"/>
  <c r="M446" i="17" s="1"/>
  <c r="L447" i="17"/>
  <c r="L448" i="17"/>
  <c r="M448" i="17" s="1"/>
  <c r="L449" i="17"/>
  <c r="L450" i="17"/>
  <c r="M450" i="17" s="1"/>
  <c r="L451" i="17"/>
  <c r="L452" i="17"/>
  <c r="L453" i="17"/>
  <c r="L454" i="17"/>
  <c r="M454" i="17" s="1"/>
  <c r="L455" i="17"/>
  <c r="M455" i="17" s="1"/>
  <c r="L456" i="17"/>
  <c r="M456" i="17" s="1"/>
  <c r="L457" i="17"/>
  <c r="M457" i="17" s="1"/>
  <c r="L458" i="17"/>
  <c r="M458" i="17" s="1"/>
  <c r="L459" i="17"/>
  <c r="M459" i="17" s="1"/>
  <c r="L460" i="17"/>
  <c r="M460" i="17" s="1"/>
  <c r="L461" i="17"/>
  <c r="M461" i="17" s="1"/>
  <c r="L462" i="17"/>
  <c r="M462" i="17" s="1"/>
  <c r="L463" i="17"/>
  <c r="L464" i="17"/>
  <c r="M464" i="17" s="1"/>
  <c r="L465" i="17"/>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L479" i="17"/>
  <c r="L480" i="17"/>
  <c r="M480" i="17" s="1"/>
  <c r="L481" i="17"/>
  <c r="L482" i="17"/>
  <c r="M482" i="17" s="1"/>
  <c r="L483" i="17"/>
  <c r="L484" i="17"/>
  <c r="L485" i="17"/>
  <c r="L486" i="17"/>
  <c r="L487" i="17"/>
  <c r="M487" i="17" s="1"/>
  <c r="L488" i="17"/>
  <c r="M488" i="17" s="1"/>
  <c r="L489" i="17"/>
  <c r="M489" i="17" s="1"/>
  <c r="L490" i="17"/>
  <c r="L491" i="17"/>
  <c r="M491" i="17" s="1"/>
  <c r="L492" i="17"/>
  <c r="M492" i="17" s="1"/>
  <c r="L493" i="17"/>
  <c r="M493" i="17" s="1"/>
  <c r="L494" i="17"/>
  <c r="M494" i="17" s="1"/>
  <c r="L495" i="17"/>
  <c r="L496" i="17"/>
  <c r="M496" i="17" s="1"/>
  <c r="L497" i="17"/>
  <c r="L498" i="17"/>
  <c r="M498" i="17" s="1"/>
  <c r="L499" i="17"/>
  <c r="L500" i="17"/>
  <c r="L501" i="17"/>
  <c r="L502" i="17"/>
  <c r="M502" i="17" s="1"/>
  <c r="L503" i="17"/>
  <c r="M503" i="17" s="1"/>
  <c r="L504" i="17"/>
  <c r="M504" i="17" s="1"/>
  <c r="L505" i="17"/>
  <c r="M505" i="17" s="1"/>
  <c r="L506" i="17"/>
  <c r="M506" i="17" s="1"/>
  <c r="L507" i="17"/>
  <c r="M507" i="17" s="1"/>
  <c r="L508" i="17"/>
  <c r="M508" i="17" s="1"/>
  <c r="L509" i="17"/>
  <c r="M509" i="17" s="1"/>
  <c r="L510" i="17"/>
  <c r="M510" i="17" s="1"/>
  <c r="L511" i="17"/>
  <c r="L512" i="17"/>
  <c r="M512" i="17" s="1"/>
  <c r="L513" i="17"/>
  <c r="L514" i="17"/>
  <c r="M514" i="17" s="1"/>
  <c r="L515" i="17"/>
  <c r="M515" i="17" s="1"/>
  <c r="L516" i="17"/>
  <c r="M516" i="17" s="1"/>
  <c r="L517" i="17"/>
  <c r="L518" i="17"/>
  <c r="M518" i="17" s="1"/>
  <c r="L519" i="17"/>
  <c r="M519" i="17" s="1"/>
  <c r="L520" i="17"/>
  <c r="M520" i="17" s="1"/>
  <c r="L521" i="17"/>
  <c r="M521" i="17" s="1"/>
  <c r="L522" i="17"/>
  <c r="M522" i="17" s="1"/>
  <c r="L523" i="17"/>
  <c r="M523" i="17" s="1"/>
  <c r="L524" i="17"/>
  <c r="M524" i="17" s="1"/>
  <c r="L525" i="17"/>
  <c r="M525" i="17" s="1"/>
  <c r="L526" i="17"/>
  <c r="M526" i="17" s="1"/>
  <c r="L527" i="17"/>
  <c r="L528" i="17"/>
  <c r="M528" i="17" s="1"/>
  <c r="L529" i="17"/>
  <c r="L530" i="17"/>
  <c r="M530" i="17" s="1"/>
  <c r="L531" i="17"/>
  <c r="L532" i="17"/>
  <c r="L533" i="17"/>
  <c r="L534" i="17"/>
  <c r="L535" i="17"/>
  <c r="M535" i="17" s="1"/>
  <c r="L536" i="17"/>
  <c r="M536" i="17" s="1"/>
  <c r="L537" i="17"/>
  <c r="M537" i="17" s="1"/>
  <c r="L538" i="17"/>
  <c r="M538" i="17" s="1"/>
  <c r="L539" i="17"/>
  <c r="M539" i="17" s="1"/>
  <c r="L540" i="17"/>
  <c r="M540" i="17" s="1"/>
  <c r="L541" i="17"/>
  <c r="M541" i="17" s="1"/>
  <c r="L542" i="17"/>
  <c r="M542" i="17" s="1"/>
  <c r="L543" i="17"/>
  <c r="L544" i="17"/>
  <c r="M544" i="17" s="1"/>
  <c r="L545" i="17"/>
  <c r="L546" i="17"/>
  <c r="M546" i="17" s="1"/>
  <c r="L547" i="17"/>
  <c r="L548" i="17"/>
  <c r="L549" i="17"/>
  <c r="L550" i="17"/>
  <c r="M550" i="17" s="1"/>
  <c r="L551" i="17"/>
  <c r="M551" i="17" s="1"/>
  <c r="L552" i="17"/>
  <c r="M552" i="17" s="1"/>
  <c r="L553" i="17"/>
  <c r="M553" i="17" s="1"/>
  <c r="L554" i="17"/>
  <c r="M554" i="17" s="1"/>
  <c r="L555" i="17"/>
  <c r="M555" i="17" s="1"/>
  <c r="L556" i="17"/>
  <c r="M556" i="17" s="1"/>
  <c r="L557" i="17"/>
  <c r="M557" i="17" s="1"/>
  <c r="L558" i="17"/>
  <c r="L559" i="17"/>
  <c r="L560" i="17"/>
  <c r="L561" i="17"/>
  <c r="L562" i="17"/>
  <c r="M562" i="17" s="1"/>
  <c r="L563" i="17"/>
  <c r="M563" i="17" s="1"/>
  <c r="L564" i="17"/>
  <c r="L565" i="17"/>
  <c r="L566" i="17"/>
  <c r="M566" i="17" s="1"/>
  <c r="L567" i="17"/>
  <c r="M567" i="17" s="1"/>
  <c r="L568" i="17"/>
  <c r="M568" i="17" s="1"/>
  <c r="L569" i="17"/>
  <c r="M569" i="17" s="1"/>
  <c r="L570" i="17"/>
  <c r="M570" i="17" s="1"/>
  <c r="L571" i="17"/>
  <c r="M571" i="17" s="1"/>
  <c r="L572" i="17"/>
  <c r="M572" i="17" s="1"/>
  <c r="L573" i="17"/>
  <c r="M573" i="17" s="1"/>
  <c r="L574" i="17"/>
  <c r="M574" i="17" s="1"/>
  <c r="L575" i="17"/>
  <c r="L576" i="17"/>
  <c r="M576" i="17" s="1"/>
  <c r="L577" i="17"/>
  <c r="L578" i="17"/>
  <c r="M578" i="17" s="1"/>
  <c r="L579" i="17"/>
  <c r="L580" i="17"/>
  <c r="L581" i="17"/>
  <c r="L582" i="17"/>
  <c r="M582" i="17" s="1"/>
  <c r="L583" i="17"/>
  <c r="M583" i="17" s="1"/>
  <c r="L584" i="17"/>
  <c r="M584" i="17" s="1"/>
  <c r="L585" i="17"/>
  <c r="M585" i="17" s="1"/>
  <c r="L586" i="17"/>
  <c r="M586" i="17" s="1"/>
  <c r="L587" i="17"/>
  <c r="M587" i="17" s="1"/>
  <c r="L588" i="17"/>
  <c r="M588" i="17" s="1"/>
  <c r="L589" i="17"/>
  <c r="M589" i="17" s="1"/>
  <c r="L590" i="17"/>
  <c r="M590" i="17" s="1"/>
  <c r="L591" i="17"/>
  <c r="L592" i="17"/>
  <c r="M592" i="17" s="1"/>
  <c r="L593" i="17"/>
  <c r="M593" i="17" s="1"/>
  <c r="L594" i="17"/>
  <c r="M594" i="17" s="1"/>
  <c r="L595" i="17"/>
  <c r="L596" i="17"/>
  <c r="L597" i="17"/>
  <c r="M597" i="17" s="1"/>
  <c r="L598" i="17"/>
  <c r="M598" i="17" s="1"/>
  <c r="L599" i="17"/>
  <c r="M599" i="17" s="1"/>
  <c r="L600" i="17"/>
  <c r="M600" i="17" s="1"/>
  <c r="L601" i="17"/>
  <c r="M601" i="17" s="1"/>
  <c r="L602" i="17"/>
  <c r="M602" i="17" s="1"/>
  <c r="L603" i="17"/>
  <c r="L604" i="17"/>
  <c r="M604" i="17" s="1"/>
  <c r="L605" i="17"/>
  <c r="M605" i="17" s="1"/>
  <c r="L606" i="17"/>
  <c r="L607" i="17"/>
  <c r="L608" i="17"/>
  <c r="M608" i="17" s="1"/>
  <c r="L609" i="17"/>
  <c r="M609" i="17" s="1"/>
  <c r="L610" i="17"/>
  <c r="M610" i="17" s="1"/>
  <c r="L611" i="17"/>
  <c r="L612" i="17"/>
  <c r="L613" i="17"/>
  <c r="L614" i="17"/>
  <c r="M614" i="17" s="1"/>
  <c r="L615" i="17"/>
  <c r="M615" i="17" s="1"/>
  <c r="L616" i="17"/>
  <c r="M616" i="17" s="1"/>
  <c r="L617" i="17"/>
  <c r="M617" i="17" s="1"/>
  <c r="L618" i="17"/>
  <c r="M618" i="17" s="1"/>
  <c r="L619" i="17"/>
  <c r="M619" i="17" s="1"/>
  <c r="L620" i="17"/>
  <c r="M620" i="17" s="1"/>
  <c r="L621" i="17"/>
  <c r="M621" i="17" s="1"/>
  <c r="L622" i="17"/>
  <c r="M622" i="17" s="1"/>
  <c r="L623" i="17"/>
  <c r="L624" i="17"/>
  <c r="M624" i="17" s="1"/>
  <c r="L625" i="17"/>
  <c r="M625" i="17" s="1"/>
  <c r="L626" i="17"/>
  <c r="M626" i="17" s="1"/>
  <c r="L627" i="17"/>
  <c r="L628" i="17"/>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L640" i="17"/>
  <c r="M640" i="17" s="1"/>
  <c r="L641" i="17"/>
  <c r="M641" i="17" s="1"/>
  <c r="L642" i="17"/>
  <c r="M642" i="17" s="1"/>
  <c r="L643" i="17"/>
  <c r="L644" i="17"/>
  <c r="M644" i="17" s="1"/>
  <c r="L645" i="17"/>
  <c r="L646" i="17"/>
  <c r="M646" i="17" s="1"/>
  <c r="L647" i="17"/>
  <c r="M647" i="17" s="1"/>
  <c r="L648" i="17"/>
  <c r="M648" i="17" s="1"/>
  <c r="L649" i="17"/>
  <c r="M649" i="17" s="1"/>
  <c r="L650" i="17"/>
  <c r="L651" i="17"/>
  <c r="L652" i="17"/>
  <c r="M652" i="17" s="1"/>
  <c r="L653" i="17"/>
  <c r="M653" i="17" s="1"/>
  <c r="L654" i="17"/>
  <c r="L655" i="17"/>
  <c r="L656" i="17"/>
  <c r="M656" i="17" s="1"/>
  <c r="L657" i="17"/>
  <c r="M657" i="17" s="1"/>
  <c r="L658" i="17"/>
  <c r="M658" i="17" s="1"/>
  <c r="L659" i="17"/>
  <c r="L660" i="17"/>
  <c r="L661" i="17"/>
  <c r="L662" i="17"/>
  <c r="M662" i="17" s="1"/>
  <c r="L663" i="17"/>
  <c r="M663" i="17" s="1"/>
  <c r="L664" i="17"/>
  <c r="M664" i="17" s="1"/>
  <c r="L665" i="17"/>
  <c r="M665" i="17" s="1"/>
  <c r="L666" i="17"/>
  <c r="M666" i="17" s="1"/>
  <c r="L667" i="17"/>
  <c r="M667" i="17" s="1"/>
  <c r="L668" i="17"/>
  <c r="M668" i="17" s="1"/>
  <c r="L669" i="17"/>
  <c r="M669" i="17" s="1"/>
  <c r="L670" i="17"/>
  <c r="M670" i="17" s="1"/>
  <c r="L671" i="17"/>
  <c r="L672" i="17"/>
  <c r="M672" i="17" s="1"/>
  <c r="L673" i="17"/>
  <c r="L674" i="17"/>
  <c r="M674" i="17" s="1"/>
  <c r="L675" i="17"/>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L688" i="17"/>
  <c r="M688" i="17" s="1"/>
  <c r="L689" i="17"/>
  <c r="M689" i="17" s="1"/>
  <c r="L690" i="17"/>
  <c r="M690" i="17" s="1"/>
  <c r="L691" i="17"/>
  <c r="M691" i="17" s="1"/>
  <c r="L692" i="17"/>
  <c r="L693" i="17"/>
  <c r="L694" i="17"/>
  <c r="L695" i="17"/>
  <c r="M695" i="17" s="1"/>
  <c r="L696" i="17"/>
  <c r="M696" i="17" s="1"/>
  <c r="L697" i="17"/>
  <c r="M697" i="17" s="1"/>
  <c r="L698" i="17"/>
  <c r="L699" i="17"/>
  <c r="L700" i="17"/>
  <c r="M700" i="17" s="1"/>
  <c r="L701" i="17"/>
  <c r="M701" i="17" s="1"/>
  <c r="L702" i="17"/>
  <c r="M702" i="17" s="1"/>
  <c r="L703" i="17"/>
  <c r="L704" i="17"/>
  <c r="M704" i="17" s="1"/>
  <c r="L705" i="17"/>
  <c r="M705" i="17" s="1"/>
  <c r="L706" i="17"/>
  <c r="M706" i="17" s="1"/>
  <c r="L707" i="17"/>
  <c r="L708" i="17"/>
  <c r="L709" i="17"/>
  <c r="L710" i="17"/>
  <c r="M710" i="17" s="1"/>
  <c r="L711" i="17"/>
  <c r="M711" i="17" s="1"/>
  <c r="L712" i="17"/>
  <c r="M712" i="17" s="1"/>
  <c r="L713" i="17"/>
  <c r="M713" i="17" s="1"/>
  <c r="L714" i="17"/>
  <c r="M714" i="17" s="1"/>
  <c r="L715" i="17"/>
  <c r="M715" i="17" s="1"/>
  <c r="L716" i="17"/>
  <c r="M716" i="17" s="1"/>
  <c r="L717" i="17"/>
  <c r="M717" i="17" s="1"/>
  <c r="L718" i="17"/>
  <c r="M718" i="17" s="1"/>
  <c r="L719" i="17"/>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L736" i="17"/>
  <c r="M736" i="17" s="1"/>
  <c r="L737" i="17"/>
  <c r="M737" i="17" s="1"/>
  <c r="L738" i="17"/>
  <c r="M738" i="17" s="1"/>
  <c r="L739" i="17"/>
  <c r="L740" i="17"/>
  <c r="L741" i="17"/>
  <c r="L742" i="17"/>
  <c r="L743" i="17"/>
  <c r="M743" i="17" s="1"/>
  <c r="L744" i="17"/>
  <c r="M744" i="17" s="1"/>
  <c r="L745" i="17"/>
  <c r="M745" i="17" s="1"/>
  <c r="L746" i="17"/>
  <c r="L747" i="17"/>
  <c r="M747" i="17" s="1"/>
  <c r="L748" i="17"/>
  <c r="M748" i="17" s="1"/>
  <c r="L749" i="17"/>
  <c r="M749" i="17" s="1"/>
  <c r="L750" i="17"/>
  <c r="M750" i="17" s="1"/>
  <c r="L751" i="17"/>
  <c r="L752" i="17"/>
  <c r="M752" i="17" s="1"/>
  <c r="L753" i="17"/>
  <c r="M753" i="17" s="1"/>
  <c r="L754" i="17"/>
  <c r="M754" i="17" s="1"/>
  <c r="L755" i="17"/>
  <c r="L756" i="17"/>
  <c r="L757" i="17"/>
  <c r="L758" i="17"/>
  <c r="M758" i="17" s="1"/>
  <c r="L759" i="17"/>
  <c r="M759" i="17" s="1"/>
  <c r="L760" i="17"/>
  <c r="M760" i="17" s="1"/>
  <c r="L761" i="17"/>
  <c r="M761" i="17" s="1"/>
  <c r="L762" i="17"/>
  <c r="M762" i="17" s="1"/>
  <c r="L763" i="17"/>
  <c r="M763" i="17" s="1"/>
  <c r="L764" i="17"/>
  <c r="M764" i="17" s="1"/>
  <c r="L765" i="17"/>
  <c r="M765" i="17" s="1"/>
  <c r="L766" i="17"/>
  <c r="M766" i="17" s="1"/>
  <c r="L767" i="17"/>
  <c r="L768" i="17"/>
  <c r="M768" i="17" s="1"/>
  <c r="L769" i="17"/>
  <c r="L770" i="17"/>
  <c r="M770" i="17" s="1"/>
  <c r="L771" i="17"/>
  <c r="M771" i="17" s="1"/>
  <c r="L772" i="17"/>
  <c r="M772" i="17" s="1"/>
  <c r="L773" i="17"/>
  <c r="L774" i="17"/>
  <c r="M774" i="17" s="1"/>
  <c r="L775" i="17"/>
  <c r="M775" i="17" s="1"/>
  <c r="L776" i="17"/>
  <c r="M776" i="17" s="1"/>
  <c r="L777" i="17"/>
  <c r="M777" i="17" s="1"/>
  <c r="L778" i="17"/>
  <c r="M778" i="17" s="1"/>
  <c r="L779" i="17"/>
  <c r="M779" i="17" s="1"/>
  <c r="L780" i="17"/>
  <c r="M780" i="17" s="1"/>
  <c r="L781" i="17"/>
  <c r="M781" i="17" s="1"/>
  <c r="L782" i="17"/>
  <c r="M782" i="17" s="1"/>
  <c r="L783" i="17"/>
  <c r="L784" i="17"/>
  <c r="M784" i="17" s="1"/>
  <c r="L785" i="17"/>
  <c r="M785" i="17" s="1"/>
  <c r="L786" i="17"/>
  <c r="M786" i="17" s="1"/>
  <c r="L787" i="17"/>
  <c r="L788" i="17"/>
  <c r="L789" i="17"/>
  <c r="L790" i="17"/>
  <c r="L791" i="17"/>
  <c r="M791" i="17" s="1"/>
  <c r="L792" i="17"/>
  <c r="M792" i="17" s="1"/>
  <c r="L793" i="17"/>
  <c r="M793" i="17" s="1"/>
  <c r="L794" i="17"/>
  <c r="M794" i="17" s="1"/>
  <c r="L795" i="17"/>
  <c r="M795" i="17" s="1"/>
  <c r="L796" i="17"/>
  <c r="M796" i="17" s="1"/>
  <c r="L797" i="17"/>
  <c r="M797" i="17" s="1"/>
  <c r="L798" i="17"/>
  <c r="M798" i="17" s="1"/>
  <c r="L799" i="17"/>
  <c r="L800" i="17"/>
  <c r="M800" i="17" s="1"/>
  <c r="L801" i="17"/>
  <c r="M801" i="17" s="1"/>
  <c r="L802" i="17"/>
  <c r="M802" i="17" s="1"/>
  <c r="L803" i="17"/>
  <c r="L804" i="17"/>
  <c r="L805" i="17"/>
  <c r="L806" i="17"/>
  <c r="M806" i="17" s="1"/>
  <c r="L807" i="17"/>
  <c r="M807" i="17" s="1"/>
  <c r="L808" i="17"/>
  <c r="M808" i="17" s="1"/>
  <c r="L809" i="17"/>
  <c r="M809" i="17" s="1"/>
  <c r="L810" i="17"/>
  <c r="M810" i="17" s="1"/>
  <c r="L811" i="17"/>
  <c r="M811" i="17" s="1"/>
  <c r="L812" i="17"/>
  <c r="M812" i="17" s="1"/>
  <c r="L813" i="17"/>
  <c r="M813" i="17" s="1"/>
  <c r="L814" i="17"/>
  <c r="L815" i="17"/>
  <c r="L816" i="17"/>
  <c r="L817" i="17"/>
  <c r="M817" i="17" s="1"/>
  <c r="L818" i="17"/>
  <c r="M818" i="17" s="1"/>
  <c r="L819" i="17"/>
  <c r="M819" i="17" s="1"/>
  <c r="L820" i="17"/>
  <c r="L821" i="17"/>
  <c r="L822" i="17"/>
  <c r="M822" i="17" s="1"/>
  <c r="L823" i="17"/>
  <c r="M823" i="17" s="1"/>
  <c r="L824" i="17"/>
  <c r="M824" i="17" s="1"/>
  <c r="L825" i="17"/>
  <c r="M825" i="17" s="1"/>
  <c r="L826" i="17"/>
  <c r="M826" i="17" s="1"/>
  <c r="L827" i="17"/>
  <c r="M827" i="17" s="1"/>
  <c r="L828" i="17"/>
  <c r="M828" i="17" s="1"/>
  <c r="L829" i="17"/>
  <c r="M829" i="17" s="1"/>
  <c r="L830" i="17"/>
  <c r="M830" i="17" s="1"/>
  <c r="L831" i="17"/>
  <c r="L832" i="17"/>
  <c r="M832" i="17" s="1"/>
  <c r="L833" i="17"/>
  <c r="M833" i="17" s="1"/>
  <c r="L834" i="17"/>
  <c r="M834" i="17" s="1"/>
  <c r="L835" i="17"/>
  <c r="L836" i="17"/>
  <c r="L837" i="17"/>
  <c r="L838" i="17"/>
  <c r="M838" i="17" s="1"/>
  <c r="L839" i="17"/>
  <c r="M839" i="17" s="1"/>
  <c r="L840" i="17"/>
  <c r="M840" i="17" s="1"/>
  <c r="L841" i="17"/>
  <c r="M841" i="17" s="1"/>
  <c r="L842" i="17"/>
  <c r="M842" i="17" s="1"/>
  <c r="L843" i="17"/>
  <c r="M843" i="17" s="1"/>
  <c r="L844" i="17"/>
  <c r="M844" i="17" s="1"/>
  <c r="L845" i="17"/>
  <c r="M845" i="17" s="1"/>
  <c r="L846" i="17"/>
  <c r="M846" i="17" s="1"/>
  <c r="L847" i="17"/>
  <c r="L848" i="17"/>
  <c r="M848" i="17" s="1"/>
  <c r="L849" i="17"/>
  <c r="M849" i="17" s="1"/>
  <c r="L850" i="17"/>
  <c r="M850" i="17" s="1"/>
  <c r="L851" i="17"/>
  <c r="L852" i="17"/>
  <c r="L853" i="17"/>
  <c r="M853" i="17" s="1"/>
  <c r="L854" i="17"/>
  <c r="M854" i="17" s="1"/>
  <c r="L855" i="17"/>
  <c r="M855" i="17" s="1"/>
  <c r="L856" i="17"/>
  <c r="M856" i="17" s="1"/>
  <c r="L857" i="17"/>
  <c r="M857" i="17" s="1"/>
  <c r="L858" i="17"/>
  <c r="M858" i="17" s="1"/>
  <c r="L859" i="17"/>
  <c r="L860" i="17"/>
  <c r="M860" i="17" s="1"/>
  <c r="L861" i="17"/>
  <c r="M861" i="17" s="1"/>
  <c r="L862" i="17"/>
  <c r="L863" i="17"/>
  <c r="L864" i="17"/>
  <c r="M864" i="17" s="1"/>
  <c r="L865" i="17"/>
  <c r="M865" i="17" s="1"/>
  <c r="L866" i="17"/>
  <c r="M866" i="17" s="1"/>
  <c r="L867" i="17"/>
  <c r="L868" i="17"/>
  <c r="L869" i="17"/>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L884" i="17"/>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L896" i="17"/>
  <c r="M896" i="17" s="1"/>
  <c r="L897" i="17"/>
  <c r="M897" i="17" s="1"/>
  <c r="L898" i="17"/>
  <c r="M898" i="17" s="1"/>
  <c r="L899" i="17"/>
  <c r="L900" i="17"/>
  <c r="M900" i="17" s="1"/>
  <c r="L901" i="17"/>
  <c r="L902" i="17"/>
  <c r="M902" i="17" s="1"/>
  <c r="L903" i="17"/>
  <c r="M903" i="17" s="1"/>
  <c r="L904" i="17"/>
  <c r="M904" i="17" s="1"/>
  <c r="L905" i="17"/>
  <c r="M905" i="17" s="1"/>
  <c r="L906" i="17"/>
  <c r="L907" i="17"/>
  <c r="L908" i="17"/>
  <c r="M908" i="17" s="1"/>
  <c r="L909" i="17"/>
  <c r="M909" i="17" s="1"/>
  <c r="L910" i="17"/>
  <c r="L911" i="17"/>
  <c r="M911" i="17" s="1"/>
  <c r="L912" i="17"/>
  <c r="M912" i="17" s="1"/>
  <c r="L913" i="17"/>
  <c r="M913" i="17" s="1"/>
  <c r="L914" i="17"/>
  <c r="M914" i="17" s="1"/>
  <c r="L915" i="17"/>
  <c r="L916" i="17"/>
  <c r="L917" i="17"/>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L944" i="17"/>
  <c r="M944" i="17" s="1"/>
  <c r="L945" i="17"/>
  <c r="M945" i="17" s="1"/>
  <c r="L946" i="17"/>
  <c r="M946" i="17" s="1"/>
  <c r="L947" i="17"/>
  <c r="M947" i="17" s="1"/>
  <c r="L948" i="17"/>
  <c r="L949" i="17"/>
  <c r="L950" i="17"/>
  <c r="L951" i="17"/>
  <c r="M951" i="17" s="1"/>
  <c r="L952" i="17"/>
  <c r="M952" i="17" s="1"/>
  <c r="L953" i="17"/>
  <c r="M953" i="17" s="1"/>
  <c r="L954" i="17"/>
  <c r="L955" i="17"/>
  <c r="L956" i="17"/>
  <c r="M956" i="17" s="1"/>
  <c r="L957" i="17"/>
  <c r="M957" i="17" s="1"/>
  <c r="L958" i="17"/>
  <c r="M958" i="17" s="1"/>
  <c r="L959" i="17"/>
  <c r="M959" i="17" s="1"/>
  <c r="L960" i="17"/>
  <c r="M960" i="17" s="1"/>
  <c r="L961" i="17"/>
  <c r="M961" i="17" s="1"/>
  <c r="L962" i="17"/>
  <c r="M962" i="17" s="1"/>
  <c r="L963" i="17"/>
  <c r="L964" i="17"/>
  <c r="L965" i="17"/>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L992" i="17"/>
  <c r="M992" i="17" s="1"/>
  <c r="L993" i="17"/>
  <c r="M993" i="17" s="1"/>
  <c r="L994" i="17"/>
  <c r="M994" i="17" s="1"/>
  <c r="L995" i="17"/>
  <c r="L996" i="17"/>
  <c r="L997" i="17"/>
  <c r="L998" i="17"/>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3" i="17"/>
  <c r="F4" i="17"/>
  <c r="F5" i="17"/>
  <c r="F6" i="17"/>
  <c r="F7" i="17"/>
  <c r="F8" i="17"/>
  <c r="F9" i="17"/>
  <c r="F10" i="17"/>
  <c r="F1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<sst xmlns="http://schemas.openxmlformats.org/spreadsheetml/2006/main" count="11136" uniqueCount="6226">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</sst>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 kg&quot;"/>
    <numFmt numFmtId="167" formatCode="_-[$$-409]* #,##0.00_ ;_-[$$-409]* \-#,##0.0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 fontId="0" fillId="0" borderId="0" xfId="0" applyNumberFormat="1"/>
  </cellXfs>
  <cellStyles count="1">
    <cellStyle name="Normal" xfId="0" builtinId="0"/>
  </cellStyles>
  <dxfs count="15">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numFmt numFmtId="167" formatCode="_-[$$-409]* #,##0.00_ ;_-[$$-409]* \-#,##0.00\ ;_-[$$-409]* &quot;-&quot;??_ ;_-@_ "/>
    </dxf>
    <dxf>
      <numFmt numFmtId="166"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Purple Slicer Style" pivot="0" table="0" count="0" xr9:uid="{756BD425-6759-4997-A67A-1DBF798BD2E8}"/>
    <tableStyle name="Purple TimeLine" pivot="0" table="0" count="8" xr9:uid="{94D433A3-4458-4C23-9971-7A4AAA330A82}">
      <tableStyleElement type="wholeTable" dxfId="4"/>
      <tableStyleElement type="headerRow" dxfId="3"/>
    </tableStyle>
    <tableStyle name="PurpleSlicer" pivot="0" table="0" count="6" xr9:uid="{DF41947C-E62A-4C8F-B828-8D094C798A5B}">
      <tableStyleElement type="wholeTable" dxfId="1"/>
      <tableStyleElement type="headerRow" dxfId="0"/>
    </tableStyle>
  </tableStyles>
  <colors>
    <mruColors>
      <color rgb="FF2F4913"/>
      <color rgb="FF3C1464"/>
      <color rgb="FFD1B2F0"/>
      <color rgb="FF9CD45E"/>
      <color rgb="FF7ABC32"/>
      <color rgb="FF619428"/>
      <color rgb="FF3D5D19"/>
      <color rgb="FFA970E2"/>
      <color rgb="FFDBC3F3"/>
      <color rgb="FFC9A5ED"/>
    </mruColors>
  </colors>
  <extLst>
    <ext xmlns:x14="http://schemas.microsoft.com/office/spreadsheetml/2009/9/main" uri="{46F421CA-312F-682f-3DD2-61675219B42D}">
      <x14:dxfs count="4">
        <dxf>
          <font>
            <b val="0"/>
            <i val="0"/>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auto="1"/>
            </left>
            <right style="thin">
              <color auto="1"/>
            </right>
            <top style="thin">
              <color auto="1"/>
            </top>
            <bottom style="thin">
              <color auto="1"/>
            </bottom>
          </border>
        </dxf>
        <dxf>
          <font>
            <b val="0"/>
            <i val="0"/>
            <color theme="0" tint="-4.9989318521683403E-2"/>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Style"/>
        <x14:slicerStyle name="Purple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A970E2"/>
            </patternFill>
          </fill>
          <border>
            <left style="thin">
              <color theme="0"/>
            </left>
            <right style="thin">
              <color theme="0"/>
            </right>
            <top style="thin">
              <color theme="0"/>
            </top>
            <bottom style="thin">
              <color theme="0"/>
            </bottom>
          </border>
        </dxf>
        <dxf>
          <font>
            <sz val="9"/>
            <color theme="1" tint="0.499984740745262"/>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 (2)!TotalSales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19428"/>
          </a:solidFill>
          <a:ln>
            <a:solidFill>
              <a:schemeClr val="bg2">
                <a:lumMod val="10000"/>
              </a:schemeClr>
            </a:solidFill>
          </a:ln>
          <a:effectLst/>
        </c:spPr>
      </c:pivotFmt>
      <c:pivotFmt>
        <c:idx val="2"/>
        <c:spPr>
          <a:solidFill>
            <a:srgbClr val="9CD45E"/>
          </a:solidFill>
          <a:ln>
            <a:solidFill>
              <a:schemeClr val="bg2">
                <a:lumMod val="10000"/>
              </a:schemeClr>
            </a:solidFill>
          </a:ln>
          <a:effectLst/>
        </c:spPr>
      </c:pivotFmt>
      <c:pivotFmt>
        <c:idx val="3"/>
        <c:spPr>
          <a:solidFill>
            <a:srgbClr val="2F4913"/>
          </a:solidFill>
          <a:ln>
            <a:solidFill>
              <a:schemeClr val="bg2">
                <a:lumMod val="10000"/>
              </a:schemeClr>
            </a:solidFill>
          </a:ln>
          <a:effectLst/>
        </c:spPr>
      </c:pivotFmt>
      <c:pivotFmt>
        <c:idx val="4"/>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D45E"/>
          </a:solidFill>
          <a:ln>
            <a:solidFill>
              <a:schemeClr val="bg2">
                <a:lumMod val="10000"/>
              </a:schemeClr>
            </a:solidFill>
          </a:ln>
          <a:effectLst/>
        </c:spPr>
      </c:pivotFmt>
      <c:pivotFmt>
        <c:idx val="6"/>
        <c:spPr>
          <a:solidFill>
            <a:srgbClr val="619428"/>
          </a:solidFill>
          <a:ln>
            <a:solidFill>
              <a:schemeClr val="bg2">
                <a:lumMod val="10000"/>
              </a:schemeClr>
            </a:solidFill>
          </a:ln>
          <a:effectLst/>
        </c:spPr>
      </c:pivotFmt>
      <c:pivotFmt>
        <c:idx val="7"/>
        <c:spPr>
          <a:solidFill>
            <a:srgbClr val="2F4913"/>
          </a:solidFill>
          <a:ln>
            <a:solidFill>
              <a:schemeClr val="bg2">
                <a:lumMod val="10000"/>
              </a:schemeClr>
            </a:solidFill>
          </a:ln>
          <a:effectLst/>
        </c:spPr>
      </c:pivotFmt>
      <c:pivotFmt>
        <c:idx val="8"/>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 (2)'!$B$3</c:f>
              <c:strCache>
                <c:ptCount val="1"/>
                <c:pt idx="0">
                  <c:v>Total</c:v>
                </c:pt>
              </c:strCache>
            </c:strRef>
          </c:tx>
          <c:spPr>
            <a:solidFill>
              <a:srgbClr val="3D5D19"/>
            </a:solidFill>
            <a:ln>
              <a:solidFill>
                <a:schemeClr val="bg2">
                  <a:lumMod val="10000"/>
                </a:schemeClr>
              </a:solidFill>
            </a:ln>
            <a:effectLst/>
          </c:spPr>
          <c:invertIfNegative val="0"/>
          <c:dPt>
            <c:idx val="0"/>
            <c:invertIfNegative val="0"/>
            <c:bubble3D val="0"/>
            <c:extLst>
              <c:ext xmlns:c16="http://schemas.microsoft.com/office/drawing/2014/chart" uri="{C3380CC4-5D6E-409C-BE32-E72D297353CC}">
                <c16:uniqueId val="{00000000-3BD2-45AF-BCC2-1740BF15B8C0}"/>
              </c:ext>
            </c:extLst>
          </c:dPt>
          <c:dPt>
            <c:idx val="1"/>
            <c:invertIfNegative val="0"/>
            <c:bubble3D val="0"/>
            <c:extLst>
              <c:ext xmlns:c16="http://schemas.microsoft.com/office/drawing/2014/chart" uri="{C3380CC4-5D6E-409C-BE32-E72D297353CC}">
                <c16:uniqueId val="{00000001-3BD2-45AF-BCC2-1740BF15B8C0}"/>
              </c:ext>
            </c:extLst>
          </c:dPt>
          <c:dPt>
            <c:idx val="2"/>
            <c:invertIfNegative val="0"/>
            <c:bubble3D val="0"/>
            <c:extLst>
              <c:ext xmlns:c16="http://schemas.microsoft.com/office/drawing/2014/chart" uri="{C3380CC4-5D6E-409C-BE32-E72D297353CC}">
                <c16:uniqueId val="{00000002-3BD2-45AF-BCC2-1740BF15B8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 (2)'!$A$4:$A$9</c:f>
              <c:strCache>
                <c:ptCount val="5"/>
                <c:pt idx="0">
                  <c:v>Don Flintiff</c:v>
                </c:pt>
                <c:pt idx="1">
                  <c:v>Nealson Cuttler</c:v>
                </c:pt>
                <c:pt idx="2">
                  <c:v>Terri Farra</c:v>
                </c:pt>
                <c:pt idx="3">
                  <c:v>Brenn Dundredge</c:v>
                </c:pt>
                <c:pt idx="4">
                  <c:v>Allis Wilmore</c:v>
                </c:pt>
              </c:strCache>
            </c:strRef>
          </c:cat>
          <c:val>
            <c:numRef>
              <c:f>'CountryBarChart (2)'!$B$4:$B$9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3BD2-45AF-BCC2-1740BF15B8C0}"/>
            </c:ext>
          </c:extLst>
        </c:ser>
        <c:dLbls>
          <c:dLblPos val="outEnd"/>
          <c:showLegendKey val="0"/>
          <c:showVal val="1"/>
          <c:showCatName val="0"/>
          <c:showSerName val="0"/>
          <c:showPercent val="0"/>
          <c:showBubbleSize val="0"/>
        </c:dLbls>
        <c:gapWidth val="182"/>
        <c:axId val="688704064"/>
        <c:axId val="688700704"/>
      </c:barChart>
      <c:catAx>
        <c:axId val="68870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8700704"/>
        <c:crosses val="autoZero"/>
        <c:auto val="1"/>
        <c:lblAlgn val="ctr"/>
        <c:lblOffset val="100"/>
        <c:noMultiLvlLbl val="0"/>
      </c:catAx>
      <c:valAx>
        <c:axId val="688700704"/>
        <c:scaling>
          <c:orientation val="minMax"/>
        </c:scaling>
        <c:delete val="0"/>
        <c:axPos val="b"/>
        <c:majorGridlines>
          <c:spPr>
            <a:ln w="9525" cap="flat" cmpd="sng" algn="ctr">
              <a:solidFill>
                <a:srgbClr val="FF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8870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5"/>
  </c:pivotSource>
  <c:chart>
    <c:autoTitleDeleted val="1"/>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2F491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9782597929976E-2"/>
          <c:y val="0.10404027232040707"/>
          <c:w val="0.73459102989484804"/>
          <c:h val="0.66015997716720842"/>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AE9-4171-B6C9-D0FA791A161F}"/>
            </c:ext>
          </c:extLst>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1"/>
          <c:extLst>
            <c:ext xmlns:c16="http://schemas.microsoft.com/office/drawing/2014/chart" uri="{C3380CC4-5D6E-409C-BE32-E72D297353CC}">
              <c16:uniqueId val="{0000000A-0AE9-4171-B6C9-D0FA791A161F}"/>
            </c:ext>
          </c:extLst>
        </c:ser>
        <c:ser>
          <c:idx val="2"/>
          <c:order val="2"/>
          <c:tx>
            <c:strRef>
              <c:f>TotalSales!$E$3:$E$4</c:f>
              <c:strCache>
                <c:ptCount val="1"/>
                <c:pt idx="0">
                  <c:v>Liberica</c:v>
                </c:pt>
              </c:strCache>
            </c:strRef>
          </c:tx>
          <c:spPr>
            <a:ln w="28575" cap="rnd">
              <a:solidFill>
                <a:srgbClr val="2F4913"/>
              </a:solidFill>
              <a:round/>
            </a:ln>
            <a:effectLst/>
          </c:spPr>
          <c:marker>
            <c:symbol val="circle"/>
            <c:size val="5"/>
            <c:spPr>
              <a:solidFill>
                <a:schemeClr val="accent3"/>
              </a:solidFill>
              <a:ln w="9525">
                <a:solidFill>
                  <a:schemeClr val="accent3"/>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1-0AE9-4171-B6C9-D0FA791A161F}"/>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2-0AE9-4171-B6C9-D0FA791A161F}"/>
            </c:ext>
          </c:extLst>
        </c:ser>
        <c:dLbls>
          <c:showLegendKey val="0"/>
          <c:showVal val="0"/>
          <c:showCatName val="0"/>
          <c:showSerName val="0"/>
          <c:showPercent val="0"/>
          <c:showBubbleSize val="0"/>
        </c:dLbls>
        <c:marker val="1"/>
        <c:smooth val="0"/>
        <c:axId val="688708848"/>
        <c:axId val="688709328"/>
      </c:lineChart>
      <c:catAx>
        <c:axId val="68870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09328"/>
        <c:crosses val="autoZero"/>
        <c:auto val="1"/>
        <c:lblAlgn val="ctr"/>
        <c:lblOffset val="100"/>
        <c:noMultiLvlLbl val="0"/>
      </c:catAx>
      <c:valAx>
        <c:axId val="688709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08848"/>
        <c:crosses val="autoZero"/>
        <c:crossBetween val="between"/>
      </c:valAx>
      <c:spPr>
        <a:noFill/>
        <a:ln>
          <a:noFill/>
        </a:ln>
        <a:effectLst/>
      </c:spPr>
    </c:plotArea>
    <c:legend>
      <c:legendPos val="r"/>
      <c:layout>
        <c:manualLayout>
          <c:xMode val="edge"/>
          <c:yMode val="edge"/>
          <c:x val="0.80974842767295596"/>
          <c:y val="0.36558891625433959"/>
          <c:w val="0.19025157232704404"/>
          <c:h val="0.25632293637573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19428"/>
          </a:solidFill>
          <a:ln>
            <a:solidFill>
              <a:schemeClr val="bg2">
                <a:lumMod val="10000"/>
              </a:schemeClr>
            </a:solidFill>
          </a:ln>
          <a:effectLst/>
        </c:spPr>
      </c:pivotFmt>
      <c:pivotFmt>
        <c:idx val="2"/>
        <c:spPr>
          <a:solidFill>
            <a:srgbClr val="9CD45E"/>
          </a:solidFill>
          <a:ln>
            <a:solidFill>
              <a:schemeClr val="bg2">
                <a:lumMod val="10000"/>
              </a:schemeClr>
            </a:solidFill>
          </a:ln>
          <a:effectLst/>
        </c:spPr>
      </c:pivotFmt>
      <c:pivotFmt>
        <c:idx val="3"/>
        <c:spPr>
          <a:solidFill>
            <a:srgbClr val="2F4913"/>
          </a:solidFill>
          <a:ln>
            <a:solidFill>
              <a:schemeClr val="bg2">
                <a:lumMod val="10000"/>
              </a:schemeClr>
            </a:solidFill>
          </a:ln>
          <a:effectLst/>
        </c:spPr>
      </c:pivotFmt>
      <c:pivotFmt>
        <c:idx val="4"/>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D45E"/>
          </a:solidFill>
          <a:ln>
            <a:solidFill>
              <a:schemeClr val="bg2">
                <a:lumMod val="10000"/>
              </a:schemeClr>
            </a:solidFill>
          </a:ln>
          <a:effectLst/>
        </c:spPr>
      </c:pivotFmt>
      <c:pivotFmt>
        <c:idx val="6"/>
        <c:spPr>
          <a:solidFill>
            <a:srgbClr val="619428"/>
          </a:solidFill>
          <a:ln>
            <a:solidFill>
              <a:schemeClr val="bg2">
                <a:lumMod val="10000"/>
              </a:schemeClr>
            </a:solidFill>
          </a:ln>
          <a:effectLst/>
        </c:spPr>
      </c:pivotFmt>
      <c:pivotFmt>
        <c:idx val="7"/>
        <c:spPr>
          <a:solidFill>
            <a:srgbClr val="2F4913"/>
          </a:solidFill>
          <a:ln>
            <a:solidFill>
              <a:schemeClr val="bg2">
                <a:lumMod val="10000"/>
              </a:schemeClr>
            </a:solidFill>
          </a:ln>
          <a:effectLst/>
        </c:spPr>
      </c:pivotFmt>
      <c:pivotFmt>
        <c:idx val="8"/>
        <c:spPr>
          <a:solidFill>
            <a:srgbClr val="3D5D19"/>
          </a:solidFill>
          <a:ln>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CD45E"/>
          </a:solidFill>
          <a:ln>
            <a:solidFill>
              <a:schemeClr val="bg2">
                <a:lumMod val="10000"/>
              </a:schemeClr>
            </a:solidFill>
          </a:ln>
          <a:effectLst/>
        </c:spPr>
      </c:pivotFmt>
      <c:pivotFmt>
        <c:idx val="10"/>
        <c:spPr>
          <a:solidFill>
            <a:srgbClr val="619428"/>
          </a:solidFill>
          <a:ln>
            <a:solidFill>
              <a:schemeClr val="bg2">
                <a:lumMod val="10000"/>
              </a:schemeClr>
            </a:solidFill>
          </a:ln>
          <a:effectLst/>
        </c:spPr>
      </c:pivotFmt>
      <c:pivotFmt>
        <c:idx val="11"/>
        <c:spPr>
          <a:solidFill>
            <a:srgbClr val="2F4913"/>
          </a:solidFill>
          <a:ln>
            <a:solidFill>
              <a:schemeClr val="bg2">
                <a:lumMod val="10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3D5D19"/>
            </a:solidFill>
            <a:ln>
              <a:solidFill>
                <a:schemeClr val="bg2">
                  <a:lumMod val="10000"/>
                </a:schemeClr>
              </a:solidFill>
            </a:ln>
            <a:effectLst/>
          </c:spPr>
          <c:invertIfNegative val="0"/>
          <c:dPt>
            <c:idx val="0"/>
            <c:invertIfNegative val="0"/>
            <c:bubble3D val="0"/>
            <c:spPr>
              <a:solidFill>
                <a:srgbClr val="9CD45E"/>
              </a:solidFill>
              <a:ln>
                <a:solidFill>
                  <a:schemeClr val="bg2">
                    <a:lumMod val="10000"/>
                  </a:schemeClr>
                </a:solidFill>
              </a:ln>
              <a:effectLst/>
            </c:spPr>
            <c:extLst>
              <c:ext xmlns:c16="http://schemas.microsoft.com/office/drawing/2014/chart" uri="{C3380CC4-5D6E-409C-BE32-E72D297353CC}">
                <c16:uniqueId val="{00000001-BA34-4561-AB52-8AF80AF0263F}"/>
              </c:ext>
            </c:extLst>
          </c:dPt>
          <c:dPt>
            <c:idx val="1"/>
            <c:invertIfNegative val="0"/>
            <c:bubble3D val="0"/>
            <c:spPr>
              <a:solidFill>
                <a:srgbClr val="619428"/>
              </a:solidFill>
              <a:ln>
                <a:solidFill>
                  <a:schemeClr val="bg2">
                    <a:lumMod val="10000"/>
                  </a:schemeClr>
                </a:solidFill>
              </a:ln>
              <a:effectLst/>
            </c:spPr>
            <c:extLst>
              <c:ext xmlns:c16="http://schemas.microsoft.com/office/drawing/2014/chart" uri="{C3380CC4-5D6E-409C-BE32-E72D297353CC}">
                <c16:uniqueId val="{00000003-BA34-4561-AB52-8AF80AF0263F}"/>
              </c:ext>
            </c:extLst>
          </c:dPt>
          <c:dPt>
            <c:idx val="2"/>
            <c:invertIfNegative val="0"/>
            <c:bubble3D val="0"/>
            <c:spPr>
              <a:solidFill>
                <a:srgbClr val="2F4913"/>
              </a:solidFill>
              <a:ln>
                <a:solidFill>
                  <a:schemeClr val="bg2">
                    <a:lumMod val="10000"/>
                  </a:schemeClr>
                </a:solidFill>
              </a:ln>
              <a:effectLst/>
            </c:spPr>
            <c:extLst>
              <c:ext xmlns:c16="http://schemas.microsoft.com/office/drawing/2014/chart" uri="{C3380CC4-5D6E-409C-BE32-E72D297353CC}">
                <c16:uniqueId val="{00000005-BA34-4561-AB52-8AF80AF026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A34-4561-AB52-8AF80AF0263F}"/>
            </c:ext>
          </c:extLst>
        </c:ser>
        <c:dLbls>
          <c:dLblPos val="outEnd"/>
          <c:showLegendKey val="0"/>
          <c:showVal val="1"/>
          <c:showCatName val="0"/>
          <c:showSerName val="0"/>
          <c:showPercent val="0"/>
          <c:showBubbleSize val="0"/>
        </c:dLbls>
        <c:gapWidth val="182"/>
        <c:axId val="688704064"/>
        <c:axId val="688700704"/>
      </c:barChart>
      <c:catAx>
        <c:axId val="68870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8700704"/>
        <c:crosses val="autoZero"/>
        <c:auto val="1"/>
        <c:lblAlgn val="ctr"/>
        <c:lblOffset val="100"/>
        <c:noMultiLvlLbl val="0"/>
      </c:catAx>
      <c:valAx>
        <c:axId val="688700704"/>
        <c:scaling>
          <c:orientation val="minMax"/>
        </c:scaling>
        <c:delete val="0"/>
        <c:axPos val="b"/>
        <c:majorGridlines>
          <c:spPr>
            <a:ln w="9525" cap="flat" cmpd="sng" algn="ctr">
              <a:solidFill>
                <a:srgbClr val="FF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68870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16042</xdr:colOff>
      <xdr:row>1</xdr:row>
      <xdr:rowOff>32085</xdr:rowOff>
    </xdr:from>
    <xdr:to>
      <xdr:col>21</xdr:col>
      <xdr:colOff>593766</xdr:colOff>
      <xdr:row>5</xdr:row>
      <xdr:rowOff>114300</xdr:rowOff>
    </xdr:to>
    <xdr:sp macro="" textlink="">
      <xdr:nvSpPr>
        <xdr:cNvPr id="2" name="Rectangle 1">
          <a:extLst>
            <a:ext uri="{FF2B5EF4-FFF2-40B4-BE49-F238E27FC236}">
              <a16:creationId xmlns:a16="http://schemas.microsoft.com/office/drawing/2014/main" id="{DA753A8B-52B5-5A96-79E5-03BDC5CDC4C7}"/>
            </a:ext>
          </a:extLst>
        </xdr:cNvPr>
        <xdr:cNvSpPr/>
      </xdr:nvSpPr>
      <xdr:spPr>
        <a:xfrm>
          <a:off x="134795" y="91462"/>
          <a:ext cx="12848893" cy="794734"/>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COFFEE</a:t>
          </a:r>
          <a:r>
            <a:rPr lang="en-IN" sz="1600" baseline="0"/>
            <a:t> SALES DASHBOARD</a:t>
          </a:r>
          <a:endParaRPr lang="en-IN" sz="1600"/>
        </a:p>
      </xdr:txBody>
    </xdr:sp>
    <xdr:clientData/>
  </xdr:twoCellAnchor>
  <xdr:twoCellAnchor>
    <xdr:from>
      <xdr:col>11</xdr:col>
      <xdr:colOff>109912</xdr:colOff>
      <xdr:row>26</xdr:row>
      <xdr:rowOff>113805</xdr:rowOff>
    </xdr:from>
    <xdr:to>
      <xdr:col>21</xdr:col>
      <xdr:colOff>603661</xdr:colOff>
      <xdr:row>38</xdr:row>
      <xdr:rowOff>4949</xdr:rowOff>
    </xdr:to>
    <xdr:graphicFrame macro="">
      <xdr:nvGraphicFramePr>
        <xdr:cNvPr id="3" name="Chart 2">
          <a:extLst>
            <a:ext uri="{FF2B5EF4-FFF2-40B4-BE49-F238E27FC236}">
              <a16:creationId xmlns:a16="http://schemas.microsoft.com/office/drawing/2014/main" id="{1958302B-279F-4F81-8795-BE7993769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16</xdr:row>
      <xdr:rowOff>11613</xdr:rowOff>
    </xdr:from>
    <xdr:to>
      <xdr:col>10</xdr:col>
      <xdr:colOff>594360</xdr:colOff>
      <xdr:row>37</xdr:row>
      <xdr:rowOff>164343</xdr:rowOff>
    </xdr:to>
    <xdr:graphicFrame macro="">
      <xdr:nvGraphicFramePr>
        <xdr:cNvPr id="4" name="Chart 3">
          <a:extLst>
            <a:ext uri="{FF2B5EF4-FFF2-40B4-BE49-F238E27FC236}">
              <a16:creationId xmlns:a16="http://schemas.microsoft.com/office/drawing/2014/main" id="{B1B773BF-2EFB-4FF2-90FE-7231C713F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13367</xdr:colOff>
      <xdr:row>6</xdr:row>
      <xdr:rowOff>11500</xdr:rowOff>
    </xdr:from>
    <xdr:to>
      <xdr:col>10</xdr:col>
      <xdr:colOff>586740</xdr:colOff>
      <xdr:row>15</xdr:row>
      <xdr:rowOff>118753</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B0CA223E-C5A1-47EA-8997-67875E2F9AA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1900" y="1002100"/>
              <a:ext cx="6059773" cy="17836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108901</xdr:colOff>
      <xdr:row>10</xdr:row>
      <xdr:rowOff>93927</xdr:rowOff>
    </xdr:from>
    <xdr:to>
      <xdr:col>16</xdr:col>
      <xdr:colOff>390390</xdr:colOff>
      <xdr:row>15</xdr:row>
      <xdr:rowOff>124406</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27CFEF16-E496-49F1-8C5F-33C7A740D27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323434" y="1829594"/>
              <a:ext cx="3329489" cy="961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106681</xdr:colOff>
      <xdr:row>6</xdr:row>
      <xdr:rowOff>19131</xdr:rowOff>
    </xdr:from>
    <xdr:to>
      <xdr:col>21</xdr:col>
      <xdr:colOff>603662</xdr:colOff>
      <xdr:row>10</xdr:row>
      <xdr:rowOff>25928</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6F6BB511-6BC2-4CC3-915A-A81A4BC2716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321214" y="1009731"/>
              <a:ext cx="6592981" cy="751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492266</xdr:colOff>
      <xdr:row>10</xdr:row>
      <xdr:rowOff>88505</xdr:rowOff>
    </xdr:from>
    <xdr:to>
      <xdr:col>22</xdr:col>
      <xdr:colOff>0</xdr:colOff>
      <xdr:row>15</xdr:row>
      <xdr:rowOff>118739</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183EA523-59B6-4C6F-9BA0-8544B7CBADB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754799" y="1824172"/>
              <a:ext cx="3165334" cy="961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105197</xdr:colOff>
      <xdr:row>16</xdr:row>
      <xdr:rowOff>793</xdr:rowOff>
    </xdr:from>
    <xdr:to>
      <xdr:col>22</xdr:col>
      <xdr:colOff>0</xdr:colOff>
      <xdr:row>26</xdr:row>
      <xdr:rowOff>51955</xdr:rowOff>
    </xdr:to>
    <xdr:graphicFrame macro="">
      <xdr:nvGraphicFramePr>
        <xdr:cNvPr id="9" name="Chart 8">
          <a:extLst>
            <a:ext uri="{FF2B5EF4-FFF2-40B4-BE49-F238E27FC236}">
              <a16:creationId xmlns:a16="http://schemas.microsoft.com/office/drawing/2014/main" id="{C63FF990-00CB-4521-A35F-BCE85F3EC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3.754597569445" createdVersion="8" refreshedVersion="8" minRefreshableVersion="3" recordCount="1000" xr:uid="{E8EEC027-6A52-480C-B475-F3C86274B25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10504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2A39F-9C66-41BC-96C7-C87A30DC71EF}"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1">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15" baseItem="7" numFmtId="1"/>
  </dataFields>
  <chartFormats count="8">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7" count="1" selected="0">
            <x v="1"/>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1"/>
          </reference>
        </references>
      </pivotArea>
    </chartFormat>
    <chartFormat chart="20" format="10">
      <pivotArea type="data" outline="0" fieldPosition="0">
        <references count="2">
          <reference field="4294967294" count="1" selected="0">
            <x v="0"/>
          </reference>
          <reference field="7" count="1" selected="0">
            <x v="0"/>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73A6E-9663-4939-94CA-AB0C659CAABA}"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7" numFmtId="1"/>
  </dataFields>
  <chartFormats count="5">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 chart="1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C136EB-D4E6-4415-891A-A9F7ACB9E3E4}"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15" baseItem="7" numFmtId="1"/>
  </dataFields>
  <chartFormats count="3">
    <chartFormat chart="14"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DB8C24C-3116-42A4-84B0-4EB60C45803B}" sourceName="Size">
  <pivotTables>
    <pivotTable tabId="18" name="TotalSales"/>
    <pivotTable tabId="20" name="TotalSales"/>
    <pivotTable tabId="21" name="TotalSales"/>
  </pivotTables>
  <data>
    <tabular pivotCacheId="101050427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D9B66F7-E407-40F7-B706-CC59442D6548}" sourceName="Roast Type Name">
  <pivotTables>
    <pivotTable tabId="18" name="TotalSales"/>
    <pivotTable tabId="20" name="TotalSales"/>
    <pivotTable tabId="21" name="TotalSales"/>
  </pivotTables>
  <data>
    <tabular pivotCacheId="101050427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602F1D3-B1A1-4F55-9619-FCA005ED0915}" sourceName="Loyalty Card">
  <pivotTables>
    <pivotTable tabId="18" name="TotalSales"/>
    <pivotTable tabId="20" name="TotalSales"/>
    <pivotTable tabId="21" name="TotalSales"/>
  </pivotTables>
  <data>
    <tabular pivotCacheId="101050427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4EB091D-885D-4A14-8AA6-0B61649B6AFF}" cache="Slicer_Size" caption="Size" columnCount="2" style="PurpleSlicer" rowHeight="234950"/>
  <slicer name="Roast Type Name" xr10:uid="{DA7929F3-C1E4-4731-9A72-77417BABC09F}" cache="Slicer_Roast_Type_Name" caption="Roast Type Name" columnCount="3" style="PurpleSlicer" rowHeight="234950"/>
  <slicer name="Loyalty Card" xr10:uid="{C111DB4A-10CC-45E4-8C94-E3E8F71153F7}" cache="Slicer_Loyalty_Card" caption="Loyalty Card" style="Purp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A572C3-5561-40E1-BC7F-29CDF2B768E5}" name="Orders" displayName="Orders" ref="A1:P1001" totalsRowShown="0" headerRowDxfId="14">
  <autoFilter ref="A1:P1001" xr:uid="{12A572C3-5561-40E1-BC7F-29CDF2B768E5}"/>
  <tableColumns count="16">
    <tableColumn id="1" xr3:uid="{1B61103E-B324-4E67-8E70-BEBAE768700F}" name="Order ID" dataDxfId="13"/>
    <tableColumn id="2" xr3:uid="{4D0A1FCF-DEB6-4F4B-8AF8-0BB3E9560BA6}" name="Order Date" dataDxfId="12"/>
    <tableColumn id="3" xr3:uid="{B94FE769-1BBC-4DD2-BA1D-DA9A25834D3D}" name="Customer ID" dataDxfId="11"/>
    <tableColumn id="4" xr3:uid="{B3064768-C5F7-4351-BC12-E14F5FF4B8CD}" name="Product ID"/>
    <tableColumn id="5" xr3:uid="{FDA2FEEC-A3C8-4BF0-B7AD-0340927AC35D}" name="Quantity" dataDxfId="10"/>
    <tableColumn id="6" xr3:uid="{1009DAFF-8584-4ABB-AE84-449A01B9E9D9}" name="Customer Name" dataDxfId="9">
      <calculatedColumnFormula>_xlfn.XLOOKUP(C2,customers!$A$1:$A$1001,customers!$B$1:$B$1001,,0)</calculatedColumnFormula>
    </tableColumn>
    <tableColumn id="7" xr3:uid="{83DC444C-7E42-4713-A915-B96365FB3593}" name="Email" dataDxfId="8">
      <calculatedColumnFormula>IF(_xlfn.XLOOKUP(C2,customers!$A$1:$A$1001,customers!$C$1:$C$1001,,0) = 0,"",_xlfn.XLOOKUP(C2,customers!$A$1:$A$1001,customers!$C$1:$C$1001,,0))</calculatedColumnFormula>
    </tableColumn>
    <tableColumn id="8" xr3:uid="{2385F453-6163-47DC-BFEA-89BF88FBF47F}" name="Country" dataDxfId="7">
      <calculatedColumnFormula>_xlfn.XLOOKUP(C2,customers!$A$1:$A$1001,customers!$G$1:$G$1001,,0)</calculatedColumnFormula>
    </tableColumn>
    <tableColumn id="9" xr3:uid="{187749C2-2D22-4CBA-AD61-21CD3DC37DC9}" name="Coffee Type">
      <calculatedColumnFormula>INDEX(products!$A$1:$G$49,MATCH(orders!$D2,products!$A$1:$A$49,0),MATCH(orders!I$1,products!$A$1:$G$1,0))</calculatedColumnFormula>
    </tableColumn>
    <tableColumn id="10" xr3:uid="{8436930E-B484-4C64-9BE7-87B69EACED35}" name="Roast Type">
      <calculatedColumnFormula>INDEX(products!$A$1:$G$49,MATCH(orders!$D2,products!$A$1:$A$49,0),MATCH(orders!J$1,products!$A$1:$G$1,0))</calculatedColumnFormula>
    </tableColumn>
    <tableColumn id="11" xr3:uid="{99FD8DEF-6363-4890-B261-49793D19E7AD}" name="Size" dataDxfId="6">
      <calculatedColumnFormula>INDEX(products!$A$1:$G$49,MATCH(orders!$D2,products!$A$1:$A$49,0),MATCH(orders!K$1,products!$A$1:$G$1,0))</calculatedColumnFormula>
    </tableColumn>
    <tableColumn id="12" xr3:uid="{A754D12B-87C6-4A4C-910D-51504CCCF1C9}" name="Unit Price" dataDxfId="5">
      <calculatedColumnFormula>INDEX(products!$A$1:$G$49,MATCH(orders!$D2,products!$A$1:$A$49,0),MATCH(orders!L$1,products!$A$1:$G$1,0))</calculatedColumnFormula>
    </tableColumn>
    <tableColumn id="13" xr3:uid="{4BD36045-0F4A-4303-9E62-CCEE494B4C5E}" name="Sales">
      <calculatedColumnFormula>L2*E2</calculatedColumnFormula>
    </tableColumn>
    <tableColumn id="14" xr3:uid="{83EA9A9D-4E4B-4E26-9AF1-27BD2D332E7F}" name="Coffee Type Name">
      <calculatedColumnFormula>IF(I2="Rob","Robusta",IF(I2="Exc","Excelsa",IF(I2="Ara","Arabica",IF(I2="Lib","Liberica",""))))</calculatedColumnFormula>
    </tableColumn>
    <tableColumn id="15" xr3:uid="{9D11EC47-FF43-4497-9DFD-79C39DE3D2CB}" name="Roast Type Name">
      <calculatedColumnFormula array="1">_xlfn.SWITCH(J2,"M","Medium","L","Light","D","Dark")</calculatedColumnFormula>
    </tableColumn>
    <tableColumn id="16" xr3:uid="{BA3D98CB-FA3B-4251-82FF-1700777A1E88}" name="Loyalty Card" dataDxfId="2">
      <calculatedColumnFormula>_xlfn.XLOOKUP(Orders[[#This Row],[Customer ID]],customers!$A$1:$A$1001,customers!$I$1:$I$1001,,0)</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58D8BB1-DE9A-486C-B16E-631D6F95EDF3}" sourceName="Order Date">
  <pivotTables>
    <pivotTable tabId="18" name="TotalSales"/>
    <pivotTable tabId="20" name="TotalSales"/>
    <pivotTable tabId="21" name="TotalSales"/>
  </pivotTables>
  <state minimalRefreshVersion="6" lastRefreshVersion="6" pivotCacheId="101050427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CB27CD-74AA-4FDF-97A6-95D0889A1F8C}" cache="NativeTimeline_Order_Date" caption="Order Date" level="2" selectionLevel="2" scrollPosition="2019-01-01T00:00:00" style="Purple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F604-08C2-4876-A406-76D00D611365}">
  <dimension ref="A3:B7"/>
  <sheetViews>
    <sheetView zoomScale="96" workbookViewId="0">
      <selection activeCell="K33" sqref="K33"/>
    </sheetView>
  </sheetViews>
  <sheetFormatPr defaultRowHeight="14.4" x14ac:dyDescent="0.3"/>
  <cols>
    <col min="1" max="1" width="14.5546875" bestFit="1" customWidth="1"/>
    <col min="2" max="2" width="12.109375" bestFit="1" customWidth="1"/>
    <col min="3" max="5" width="25.6640625" bestFit="1" customWidth="1"/>
    <col min="6" max="7" width="14.33203125" bestFit="1" customWidth="1"/>
  </cols>
  <sheetData>
    <row r="3" spans="1:2" x14ac:dyDescent="0.3">
      <c r="A3" s="7" t="s">
        <v>7</v>
      </c>
      <c r="B3" t="s">
        <v>6225</v>
      </c>
    </row>
    <row r="4" spans="1:2" x14ac:dyDescent="0.3">
      <c r="A4" t="s">
        <v>28</v>
      </c>
      <c r="B4" s="8">
        <v>2798.5050000000001</v>
      </c>
    </row>
    <row r="5" spans="1:2" x14ac:dyDescent="0.3">
      <c r="A5" t="s">
        <v>318</v>
      </c>
      <c r="B5" s="8">
        <v>6696.8649999999989</v>
      </c>
    </row>
    <row r="6" spans="1:2" x14ac:dyDescent="0.3">
      <c r="A6" t="s">
        <v>19</v>
      </c>
      <c r="B6" s="8">
        <v>35638.88499999998</v>
      </c>
    </row>
    <row r="7" spans="1:2" x14ac:dyDescent="0.3">
      <c r="A7" t="s">
        <v>6198</v>
      </c>
      <c r="B7" s="8">
        <v>45134.254999999976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2" sqref="P2:P100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5.88671875" bestFit="1" customWidth="1"/>
    <col min="12" max="12" width="11.77734375" style="6" customWidth="1"/>
    <col min="13" max="13" width="6.77734375" customWidth="1"/>
    <col min="14" max="14" width="18.109375" customWidth="1"/>
    <col min="15" max="15" width="17.21875" customWidth="1"/>
    <col min="16" max="16" width="13.332031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5"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 = 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f>L2*E2</f>
        <v>19.899999999999999</v>
      </c>
      <c r="N2" t="str">
        <f>IF(I2="Rob","Robusta",IF(I2="Exc","Excelsa",IF(I2="Ara","Arabica",IF(I2="Lib","Liberica",""))))</f>
        <v>Robusta</v>
      </c>
      <c r="O2" t="str" cm="1">
        <f t="array" ref="O2">_xlfn.SWITCH(J2,"M","Medium","L","Light","D","Dark")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 = 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f t="shared" ref="M3:M66" si="0">L3*E3</f>
        <v>41.25</v>
      </c>
      <c r="N3" t="str">
        <f t="shared" ref="N3:N66" si="1">IF(I3="Rob","Robusta",IF(I3="Exc","Excelsa",IF(I3="Ara","Arabica",IF(I3="Lib","Liberica",""))))</f>
        <v>Excelsa</v>
      </c>
      <c r="O3" t="str" cm="1">
        <f t="array" ref="O3">_xlfn.SWITCH(J3,"M","Medium","L","Light","D","Dark")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 = 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f t="shared" si="0"/>
        <v>12.95</v>
      </c>
      <c r="N4" t="str">
        <f t="shared" si="1"/>
        <v>Arabica</v>
      </c>
      <c r="O4" t="str" cm="1">
        <f t="array" ref="O4">_xlfn.SWITCH(J4,"M","Medium","L","Light","D","Dark")</f>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 = 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f t="shared" si="0"/>
        <v>27.5</v>
      </c>
      <c r="N5" t="str">
        <f t="shared" si="1"/>
        <v>Excelsa</v>
      </c>
      <c r="O5" t="str" cm="1">
        <f t="array" ref="O5">_xlfn.SWITCH(J5,"M","Medium","L","Light","D","Dark")</f>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 = 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f t="shared" si="0"/>
        <v>54.969999999999992</v>
      </c>
      <c r="N6" t="str">
        <f t="shared" si="1"/>
        <v>Robusta</v>
      </c>
      <c r="O6" t="str" cm="1">
        <f t="array" ref="O6">_xlfn.SWITCH(J6,"M","Medium","L","Light","D","Dark")</f>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 = 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f t="shared" si="0"/>
        <v>38.849999999999994</v>
      </c>
      <c r="N7" t="str">
        <f t="shared" si="1"/>
        <v>Liberica</v>
      </c>
      <c r="O7" t="str" cm="1">
        <f t="array" ref="O7">_xlfn.SWITCH(J7,"M","Medium","L","Light","D","Dark")</f>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 = 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f t="shared" si="0"/>
        <v>21.87</v>
      </c>
      <c r="N8" t="str">
        <f t="shared" si="1"/>
        <v>Excelsa</v>
      </c>
      <c r="O8" t="str" cm="1">
        <f t="array" ref="O8">_xlfn.SWITCH(J8,"M","Medium","L","Light","D","Dark")</f>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 = 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f t="shared" si="0"/>
        <v>4.7549999999999999</v>
      </c>
      <c r="N9" t="str">
        <f t="shared" si="1"/>
        <v>Liberica</v>
      </c>
      <c r="O9" t="str" cm="1">
        <f t="array" ref="O9">_xlfn.SWITCH(J9,"M","Medium","L","Light","D","Dark")</f>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 = 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f t="shared" si="0"/>
        <v>17.91</v>
      </c>
      <c r="N10" t="str">
        <f t="shared" si="1"/>
        <v>Robusta</v>
      </c>
      <c r="O10" t="str" cm="1">
        <f t="array" ref="O10">_xlfn.SWITCH(J10,"M","Medium","L","Light","D","Dark")</f>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 = 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f t="shared" si="0"/>
        <v>5.97</v>
      </c>
      <c r="N11" t="str">
        <f t="shared" si="1"/>
        <v>Robusta</v>
      </c>
      <c r="O11" t="str" cm="1">
        <f t="array" ref="O11">_xlfn.SWITCH(J11,"M","Medium","L","Light","D","Dark")</f>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 = 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f t="shared" si="0"/>
        <v>39.799999999999997</v>
      </c>
      <c r="N12" t="str">
        <f t="shared" si="1"/>
        <v>Arabica</v>
      </c>
      <c r="O12" t="str" cm="1">
        <f t="array" ref="O12">_xlfn.SWITCH(J12,"M","Medium","L","Light","D","Dark")</f>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 = 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f t="shared" si="0"/>
        <v>170.77499999999998</v>
      </c>
      <c r="N13" t="str">
        <f t="shared" si="1"/>
        <v>Excelsa</v>
      </c>
      <c r="O13" t="str" cm="1">
        <f t="array" ref="O13">_xlfn.SWITCH(J13,"M","Medium","L","Light","D","Dark")</f>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 = 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f t="shared" si="0"/>
        <v>49.75</v>
      </c>
      <c r="N14" t="str">
        <f t="shared" si="1"/>
        <v>Robusta</v>
      </c>
      <c r="O14" t="str" cm="1">
        <f t="array" ref="O14">_xlfn.SWITCH(J14,"M","Medium","L","Light","D","Dark")</f>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 = 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f t="shared" si="0"/>
        <v>41.169999999999995</v>
      </c>
      <c r="N15" t="str">
        <f t="shared" si="1"/>
        <v>Robusta</v>
      </c>
      <c r="O15" t="str" cm="1">
        <f t="array" ref="O15">_xlfn.SWITCH(J15,"M","Medium","L","Light","D","Dark")</f>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 = 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f t="shared" si="0"/>
        <v>11.654999999999999</v>
      </c>
      <c r="N16" t="str">
        <f t="shared" si="1"/>
        <v>Liberica</v>
      </c>
      <c r="O16" t="str" cm="1">
        <f t="array" ref="O16">_xlfn.SWITCH(J16,"M","Medium","L","Light","D","Dark")</f>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 = 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f t="shared" si="0"/>
        <v>114.42499999999998</v>
      </c>
      <c r="N17" t="str">
        <f t="shared" si="1"/>
        <v>Robusta</v>
      </c>
      <c r="O17" t="str" cm="1">
        <f t="array" ref="O17">_xlfn.SWITCH(J17,"M","Medium","L","Light","D","Dark")</f>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 = 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f t="shared" si="0"/>
        <v>20.25</v>
      </c>
      <c r="N18" t="str">
        <f t="shared" si="1"/>
        <v>Arabica</v>
      </c>
      <c r="O18" t="str" cm="1">
        <f t="array" ref="O18">_xlfn.SWITCH(J18,"M","Medium","L","Light","D","Dark")</f>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 = 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f t="shared" si="0"/>
        <v>77.699999999999989</v>
      </c>
      <c r="N19" t="str">
        <f t="shared" si="1"/>
        <v>Arabica</v>
      </c>
      <c r="O19" t="str" cm="1">
        <f t="array" ref="O19">_xlfn.SWITCH(J19,"M","Medium","L","Light","D","Dark")</f>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 = 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f t="shared" si="0"/>
        <v>82.339999999999989</v>
      </c>
      <c r="N20" t="str">
        <f t="shared" si="1"/>
        <v>Robusta</v>
      </c>
      <c r="O20" t="str" cm="1">
        <f t="array" ref="O20">_xlfn.SWITCH(J20,"M","Medium","L","Light","D","Dark")</f>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 = 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f t="shared" si="0"/>
        <v>16.875</v>
      </c>
      <c r="N21" t="str">
        <f t="shared" si="1"/>
        <v>Arabica</v>
      </c>
      <c r="O21" t="str" cm="1">
        <f t="array" ref="O21">_xlfn.SWITCH(J21,"M","Medium","L","Light","D","Dark")</f>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 = 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f t="shared" si="0"/>
        <v>14.58</v>
      </c>
      <c r="N22" t="str">
        <f t="shared" si="1"/>
        <v>Excelsa</v>
      </c>
      <c r="O22" t="str" cm="1">
        <f t="array" ref="O22">_xlfn.SWITCH(J22,"M","Medium","L","Light","D","Dark")</f>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 = 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f t="shared" si="0"/>
        <v>17.91</v>
      </c>
      <c r="N23" t="str">
        <f t="shared" si="1"/>
        <v>Arabica</v>
      </c>
      <c r="O23" t="str" cm="1">
        <f t="array" ref="O23">_xlfn.SWITCH(J23,"M","Medium","L","Light","D","Dark")</f>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 = 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f t="shared" si="0"/>
        <v>91.539999999999992</v>
      </c>
      <c r="N24" t="str">
        <f t="shared" si="1"/>
        <v>Robusta</v>
      </c>
      <c r="O24" t="str" cm="1">
        <f t="array" ref="O24">_xlfn.SWITCH(J24,"M","Medium","L","Light","D","Dark")</f>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 = 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f t="shared" si="0"/>
        <v>11.94</v>
      </c>
      <c r="N25" t="str">
        <f t="shared" si="1"/>
        <v>Arabica</v>
      </c>
      <c r="O25" t="str" cm="1">
        <f t="array" ref="O25">_xlfn.SWITCH(J25,"M","Medium","L","Light","D","Dark")</f>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 = 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f t="shared" si="0"/>
        <v>11.25</v>
      </c>
      <c r="N26" t="str">
        <f t="shared" si="1"/>
        <v>Arabica</v>
      </c>
      <c r="O26" t="str" cm="1">
        <f t="array" ref="O26">_xlfn.SWITCH(J26,"M","Medium","L","Light","D","Dark")</f>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 = 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f t="shared" si="0"/>
        <v>12.375</v>
      </c>
      <c r="N27" t="str">
        <f t="shared" si="1"/>
        <v>Excelsa</v>
      </c>
      <c r="O27" t="str" cm="1">
        <f t="array" ref="O27">_xlfn.SWITCH(J27,"M","Medium","L","Light","D","Dark")</f>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 = 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f t="shared" si="0"/>
        <v>27</v>
      </c>
      <c r="N28" t="str">
        <f t="shared" si="1"/>
        <v>Arabica</v>
      </c>
      <c r="O28" t="str" cm="1">
        <f t="array" ref="O28">_xlfn.SWITCH(J28,"M","Medium","L","Light","D","Dark")</f>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 = 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f t="shared" si="0"/>
        <v>16.875</v>
      </c>
      <c r="N29" t="str">
        <f t="shared" si="1"/>
        <v>Arabica</v>
      </c>
      <c r="O29" t="str" cm="1">
        <f t="array" ref="O29">_xlfn.SWITCH(J29,"M","Medium","L","Light","D","Dark")</f>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 = 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f t="shared" si="0"/>
        <v>17.91</v>
      </c>
      <c r="N30" t="str">
        <f t="shared" si="1"/>
        <v>Arabica</v>
      </c>
      <c r="O30" t="str" cm="1">
        <f t="array" ref="O30">_xlfn.SWITCH(J30,"M","Medium","L","Light","D","Dark")</f>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 = 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f t="shared" si="0"/>
        <v>39.799999999999997</v>
      </c>
      <c r="N31" t="str">
        <f t="shared" si="1"/>
        <v>Arabica</v>
      </c>
      <c r="O31" t="str" cm="1">
        <f t="array" ref="O31">_xlfn.SWITCH(J31,"M","Medium","L","Light","D","Dark")</f>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 = 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f t="shared" si="0"/>
        <v>21.825000000000003</v>
      </c>
      <c r="N32" t="str">
        <f t="shared" si="1"/>
        <v>Liberica</v>
      </c>
      <c r="O32" t="str" cm="1">
        <f t="array" ref="O32">_xlfn.SWITCH(J32,"M","Medium","L","Light","D","Dark")</f>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 = 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f t="shared" si="0"/>
        <v>35.82</v>
      </c>
      <c r="N33" t="str">
        <f t="shared" si="1"/>
        <v>Arabica</v>
      </c>
      <c r="O33" t="str" cm="1">
        <f t="array" ref="O33">_xlfn.SWITCH(J33,"M","Medium","L","Light","D","Dark")</f>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 = 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f t="shared" si="0"/>
        <v>52.38</v>
      </c>
      <c r="N34" t="str">
        <f t="shared" si="1"/>
        <v>Liberica</v>
      </c>
      <c r="O34" t="str" cm="1">
        <f t="array" ref="O34">_xlfn.SWITCH(J34,"M","Medium","L","Light","D","Dark")</f>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 = 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f t="shared" si="0"/>
        <v>23.774999999999999</v>
      </c>
      <c r="N35" t="str">
        <f t="shared" si="1"/>
        <v>Liberica</v>
      </c>
      <c r="O35" t="str" cm="1">
        <f t="array" ref="O35">_xlfn.SWITCH(J35,"M","Medium","L","Light","D","Dark")</f>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 = 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f t="shared" si="0"/>
        <v>57.06</v>
      </c>
      <c r="N36" t="str">
        <f t="shared" si="1"/>
        <v>Liberica</v>
      </c>
      <c r="O36" t="str" cm="1">
        <f t="array" ref="O36">_xlfn.SWITCH(J36,"M","Medium","L","Light","D","Dark")</f>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 = 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f t="shared" si="0"/>
        <v>35.82</v>
      </c>
      <c r="N37" t="str">
        <f t="shared" si="1"/>
        <v>Arabica</v>
      </c>
      <c r="O37" t="str" cm="1">
        <f t="array" ref="O37">_xlfn.SWITCH(J37,"M","Medium","L","Light","D","Dark")</f>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 = 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f t="shared" si="0"/>
        <v>8.73</v>
      </c>
      <c r="N38" t="str">
        <f t="shared" si="1"/>
        <v>Liberica</v>
      </c>
      <c r="O38" t="str" cm="1">
        <f t="array" ref="O38">_xlfn.SWITCH(J38,"M","Medium","L","Light","D","Dark")</f>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 = 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f t="shared" si="0"/>
        <v>28.53</v>
      </c>
      <c r="N39" t="str">
        <f t="shared" si="1"/>
        <v>Liberica</v>
      </c>
      <c r="O39" t="str" cm="1">
        <f t="array" ref="O39">_xlfn.SWITCH(J39,"M","Medium","L","Light","D","Dark")</f>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 = 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f t="shared" si="0"/>
        <v>114.42499999999998</v>
      </c>
      <c r="N40" t="str">
        <f t="shared" si="1"/>
        <v>Robusta</v>
      </c>
      <c r="O40" t="str" cm="1">
        <f t="array" ref="O40">_xlfn.SWITCH(J40,"M","Medium","L","Light","D","Dark")</f>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 = 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f t="shared" si="0"/>
        <v>59.699999999999996</v>
      </c>
      <c r="N41" t="str">
        <f t="shared" si="1"/>
        <v>Robusta</v>
      </c>
      <c r="O41" t="str" cm="1">
        <f t="array" ref="O41">_xlfn.SWITCH(J41,"M","Medium","L","Light","D","Dark")</f>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 = 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f t="shared" si="0"/>
        <v>43.650000000000006</v>
      </c>
      <c r="N42" t="str">
        <f t="shared" si="1"/>
        <v>Liberica</v>
      </c>
      <c r="O42" t="str" cm="1">
        <f t="array" ref="O42">_xlfn.SWITCH(J42,"M","Medium","L","Light","D","Dark")</f>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 = 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f t="shared" si="0"/>
        <v>7.29</v>
      </c>
      <c r="N43" t="str">
        <f t="shared" si="1"/>
        <v>Excelsa</v>
      </c>
      <c r="O43" t="str" cm="1">
        <f t="array" ref="O43">_xlfn.SWITCH(J43,"M","Medium","L","Light","D","Dark")</f>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 = 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f t="shared" si="0"/>
        <v>8.0549999999999997</v>
      </c>
      <c r="N44" t="str">
        <f t="shared" si="1"/>
        <v>Robusta</v>
      </c>
      <c r="O44" t="str" cm="1">
        <f t="array" ref="O44">_xlfn.SWITCH(J44,"M","Medium","L","Light","D","Dark")</f>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 = 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f t="shared" si="0"/>
        <v>72.91</v>
      </c>
      <c r="N45" t="str">
        <f t="shared" si="1"/>
        <v>Liberica</v>
      </c>
      <c r="O45" t="str" cm="1">
        <f t="array" ref="O45">_xlfn.SWITCH(J45,"M","Medium","L","Light","D","Dark")</f>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 = 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f t="shared" si="0"/>
        <v>16.5</v>
      </c>
      <c r="N46" t="str">
        <f t="shared" si="1"/>
        <v>Excelsa</v>
      </c>
      <c r="O46" t="str" cm="1">
        <f t="array" ref="O46">_xlfn.SWITCH(J46,"M","Medium","L","Light","D","Dark")</f>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 = 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f t="shared" si="0"/>
        <v>178.70999999999998</v>
      </c>
      <c r="N47" t="str">
        <f t="shared" si="1"/>
        <v>Liberica</v>
      </c>
      <c r="O47" t="str" cm="1">
        <f t="array" ref="O47">_xlfn.SWITCH(J47,"M","Medium","L","Light","D","Dark")</f>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 = 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f t="shared" si="0"/>
        <v>63.249999999999993</v>
      </c>
      <c r="N48" t="str">
        <f t="shared" si="1"/>
        <v>Excelsa</v>
      </c>
      <c r="O48" t="str" cm="1">
        <f t="array" ref="O48">_xlfn.SWITCH(J48,"M","Medium","L","Light","D","Dark")</f>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 = 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f t="shared" si="0"/>
        <v>7.77</v>
      </c>
      <c r="N49" t="str">
        <f t="shared" si="1"/>
        <v>Arabica</v>
      </c>
      <c r="O49" t="str" cm="1">
        <f t="array" ref="O49">_xlfn.SWITCH(J49,"M","Medium","L","Light","D","Dark")</f>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 = 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f t="shared" si="0"/>
        <v>91.539999999999992</v>
      </c>
      <c r="N50" t="str">
        <f t="shared" si="1"/>
        <v>Arabica</v>
      </c>
      <c r="O50" t="str" cm="1">
        <f t="array" ref="O50">_xlfn.SWITCH(J50,"M","Medium","L","Light","D","Dark")</f>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 = 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f t="shared" si="0"/>
        <v>38.849999999999994</v>
      </c>
      <c r="N51" t="str">
        <f t="shared" si="1"/>
        <v>Arabica</v>
      </c>
      <c r="O51" t="str" cm="1">
        <f t="array" ref="O51">_xlfn.SWITCH(J51,"M","Medium","L","Light","D","Dark")</f>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 = 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f t="shared" si="0"/>
        <v>15.54</v>
      </c>
      <c r="N52" t="str">
        <f t="shared" si="1"/>
        <v>Liberica</v>
      </c>
      <c r="O52" t="str" cm="1">
        <f t="array" ref="O52">_xlfn.SWITCH(J52,"M","Medium","L","Light","D","Dark")</f>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 = 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f t="shared" si="0"/>
        <v>145.82</v>
      </c>
      <c r="N53" t="str">
        <f t="shared" si="1"/>
        <v>Liberica</v>
      </c>
      <c r="O53" t="str" cm="1">
        <f t="array" ref="O53">_xlfn.SWITCH(J53,"M","Medium","L","Light","D","Dark")</f>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 = 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f t="shared" si="0"/>
        <v>29.849999999999998</v>
      </c>
      <c r="N54" t="str">
        <f t="shared" si="1"/>
        <v>Robusta</v>
      </c>
      <c r="O54" t="str" cm="1">
        <f t="array" ref="O54">_xlfn.SWITCH(J54,"M","Medium","L","Light","D","Dark")</f>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 = 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f t="shared" si="0"/>
        <v>72.91</v>
      </c>
      <c r="N55" t="str">
        <f t="shared" si="1"/>
        <v>Liberica</v>
      </c>
      <c r="O55" t="str" cm="1">
        <f t="array" ref="O55">_xlfn.SWITCH(J55,"M","Medium","L","Light","D","Dark")</f>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 = 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f t="shared" si="0"/>
        <v>72.75</v>
      </c>
      <c r="N56" t="str">
        <f t="shared" si="1"/>
        <v>Liberica</v>
      </c>
      <c r="O56" t="str" cm="1">
        <f t="array" ref="O56">_xlfn.SWITCH(J56,"M","Medium","L","Light","D","Dark")</f>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 = 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f t="shared" si="0"/>
        <v>47.55</v>
      </c>
      <c r="N57" t="str">
        <f t="shared" si="1"/>
        <v>Liberica</v>
      </c>
      <c r="O57" t="str" cm="1">
        <f t="array" ref="O57">_xlfn.SWITCH(J57,"M","Medium","L","Light","D","Dark")</f>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 = 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f t="shared" si="0"/>
        <v>10.935</v>
      </c>
      <c r="N58" t="str">
        <f t="shared" si="1"/>
        <v>Excelsa</v>
      </c>
      <c r="O58" t="str" cm="1">
        <f t="array" ref="O58">_xlfn.SWITCH(J58,"M","Medium","L","Light","D","Dark")</f>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 = 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f t="shared" si="0"/>
        <v>59.4</v>
      </c>
      <c r="N59" t="str">
        <f t="shared" si="1"/>
        <v>Excelsa</v>
      </c>
      <c r="O59" t="str" cm="1">
        <f t="array" ref="O59">_xlfn.SWITCH(J59,"M","Medium","L","Light","D","Dark")</f>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 = 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f t="shared" si="0"/>
        <v>89.35499999999999</v>
      </c>
      <c r="N60" t="str">
        <f t="shared" si="1"/>
        <v>Liberica</v>
      </c>
      <c r="O60" t="str" cm="1">
        <f t="array" ref="O60">_xlfn.SWITCH(J60,"M","Medium","L","Light","D","Dark")</f>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 = 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f t="shared" si="0"/>
        <v>26.19</v>
      </c>
      <c r="N61" t="str">
        <f t="shared" si="1"/>
        <v>Liberica</v>
      </c>
      <c r="O61" t="str" cm="1">
        <f t="array" ref="O61">_xlfn.SWITCH(J61,"M","Medium","L","Light","D","Dark")</f>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 = 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f t="shared" si="0"/>
        <v>114.42499999999998</v>
      </c>
      <c r="N62" t="str">
        <f t="shared" si="1"/>
        <v>Arabica</v>
      </c>
      <c r="O62" t="str" cm="1">
        <f t="array" ref="O62">_xlfn.SWITCH(J62,"M","Medium","L","Light","D","Dark")</f>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 = 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f t="shared" si="0"/>
        <v>26.849999999999994</v>
      </c>
      <c r="N63" t="str">
        <f t="shared" si="1"/>
        <v>Robusta</v>
      </c>
      <c r="O63" t="str" cm="1">
        <f t="array" ref="O63">_xlfn.SWITCH(J63,"M","Medium","L","Light","D","Dark")</f>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 = 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f t="shared" si="0"/>
        <v>23.774999999999999</v>
      </c>
      <c r="N64" t="str">
        <f t="shared" si="1"/>
        <v>Liberica</v>
      </c>
      <c r="O64" t="str" cm="1">
        <f t="array" ref="O64">_xlfn.SWITCH(J64,"M","Medium","L","Light","D","Dark")</f>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 = 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f t="shared" si="0"/>
        <v>6.75</v>
      </c>
      <c r="N65" t="str">
        <f t="shared" si="1"/>
        <v>Arabica</v>
      </c>
      <c r="O65" t="str" cm="1">
        <f t="array" ref="O65">_xlfn.SWITCH(J65,"M","Medium","L","Light","D","Dark")</f>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 = 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f t="shared" si="0"/>
        <v>35.82</v>
      </c>
      <c r="N66" t="str">
        <f t="shared" si="1"/>
        <v>Robusta</v>
      </c>
      <c r="O66" t="str" cm="1">
        <f t="array" ref="O66">_xlfn.SWITCH(J66,"M","Medium","L","Light","D","Dark")</f>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 = 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f t="shared" ref="M67:M130" si="2">L67*E67</f>
        <v>82.339999999999989</v>
      </c>
      <c r="N67" t="str">
        <f t="shared" ref="N67:N130" si="3">IF(I67="Rob","Robusta",IF(I67="Exc","Excelsa",IF(I67="Ara","Arabica",IF(I67="Lib","Liberica",""))))</f>
        <v>Robusta</v>
      </c>
      <c r="O67" t="str" cm="1">
        <f t="array" ref="O67">_xlfn.SWITCH(J67,"M","Medium","L","Light","D","Dark")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 = 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f t="shared" si="2"/>
        <v>7.169999999999999</v>
      </c>
      <c r="N68" t="str">
        <f t="shared" si="3"/>
        <v>Robusta</v>
      </c>
      <c r="O68" t="str" cm="1">
        <f t="array" ref="O68">_xlfn.SWITCH(J68,"M","Medium","L","Light","D","Dark")</f>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 = 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f t="shared" si="2"/>
        <v>9.51</v>
      </c>
      <c r="N69" t="str">
        <f t="shared" si="3"/>
        <v>Liberica</v>
      </c>
      <c r="O69" t="str" cm="1">
        <f t="array" ref="O69">_xlfn.SWITCH(J69,"M","Medium","L","Light","D","Dark")</f>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 = 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f t="shared" si="2"/>
        <v>2.9849999999999999</v>
      </c>
      <c r="N70" t="str">
        <f t="shared" si="3"/>
        <v>Robusta</v>
      </c>
      <c r="O70" t="str" cm="1">
        <f t="array" ref="O70">_xlfn.SWITCH(J70,"M","Medium","L","Light","D","Dark")</f>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 = 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f t="shared" si="2"/>
        <v>59.699999999999996</v>
      </c>
      <c r="N71" t="str">
        <f t="shared" si="3"/>
        <v>Robusta</v>
      </c>
      <c r="O71" t="str" cm="1">
        <f t="array" ref="O71">_xlfn.SWITCH(J71,"M","Medium","L","Light","D","Dark")</f>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 = 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f t="shared" si="2"/>
        <v>136.61999999999998</v>
      </c>
      <c r="N72" t="str">
        <f t="shared" si="3"/>
        <v>Excelsa</v>
      </c>
      <c r="O72" t="str" cm="1">
        <f t="array" ref="O72">_xlfn.SWITCH(J72,"M","Medium","L","Light","D","Dark")</f>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 = 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f t="shared" si="2"/>
        <v>9.51</v>
      </c>
      <c r="N73" t="str">
        <f t="shared" si="3"/>
        <v>Liberica</v>
      </c>
      <c r="O73" t="str" cm="1">
        <f t="array" ref="O73">_xlfn.SWITCH(J73,"M","Medium","L","Light","D","Dark")</f>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 = 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f t="shared" si="2"/>
        <v>77.624999999999986</v>
      </c>
      <c r="N74" t="str">
        <f t="shared" si="3"/>
        <v>Arabica</v>
      </c>
      <c r="O74" t="str" cm="1">
        <f t="array" ref="O74">_xlfn.SWITCH(J74,"M","Medium","L","Light","D","Dark")</f>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 = 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f t="shared" si="2"/>
        <v>21.825000000000003</v>
      </c>
      <c r="N75" t="str">
        <f t="shared" si="3"/>
        <v>Liberica</v>
      </c>
      <c r="O75" t="str" cm="1">
        <f t="array" ref="O75">_xlfn.SWITCH(J75,"M","Medium","L","Light","D","Dark")</f>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 = 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f t="shared" si="2"/>
        <v>17.82</v>
      </c>
      <c r="N76" t="str">
        <f t="shared" si="3"/>
        <v>Excelsa</v>
      </c>
      <c r="O76" t="str" cm="1">
        <f t="array" ref="O76">_xlfn.SWITCH(J76,"M","Medium","L","Light","D","Dark")</f>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 = 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f t="shared" si="2"/>
        <v>53.699999999999996</v>
      </c>
      <c r="N77" t="str">
        <f t="shared" si="3"/>
        <v>Robusta</v>
      </c>
      <c r="O77" t="str" cm="1">
        <f t="array" ref="O77">_xlfn.SWITCH(J77,"M","Medium","L","Light","D","Dark")</f>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 = 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f t="shared" si="2"/>
        <v>3.5849999999999995</v>
      </c>
      <c r="N78" t="str">
        <f t="shared" si="3"/>
        <v>Robusta</v>
      </c>
      <c r="O78" t="str" cm="1">
        <f t="array" ref="O78">_xlfn.SWITCH(J78,"M","Medium","L","Light","D","Dark")</f>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 = 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f t="shared" si="2"/>
        <v>7.29</v>
      </c>
      <c r="N79" t="str">
        <f t="shared" si="3"/>
        <v>Excelsa</v>
      </c>
      <c r="O79" t="str" cm="1">
        <f t="array" ref="O79">_xlfn.SWITCH(J79,"M","Medium","L","Light","D","Dark")</f>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 = 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f t="shared" si="2"/>
        <v>40.5</v>
      </c>
      <c r="N80" t="str">
        <f t="shared" si="3"/>
        <v>Arabica</v>
      </c>
      <c r="O80" t="str" cm="1">
        <f t="array" ref="O80">_xlfn.SWITCH(J80,"M","Medium","L","Light","D","Dark")</f>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 = 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f t="shared" si="2"/>
        <v>47.8</v>
      </c>
      <c r="N81" t="str">
        <f t="shared" si="3"/>
        <v>Robusta</v>
      </c>
      <c r="O81" t="str" cm="1">
        <f t="array" ref="O81">_xlfn.SWITCH(J81,"M","Medium","L","Light","D","Dark")</f>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 = 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f t="shared" si="2"/>
        <v>38.849999999999994</v>
      </c>
      <c r="N82" t="str">
        <f t="shared" si="3"/>
        <v>Arabica</v>
      </c>
      <c r="O82" t="str" cm="1">
        <f t="array" ref="O82">_xlfn.SWITCH(J82,"M","Medium","L","Light","D","Dark")</f>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 = 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f t="shared" si="2"/>
        <v>109.36499999999999</v>
      </c>
      <c r="N83" t="str">
        <f t="shared" si="3"/>
        <v>Liberica</v>
      </c>
      <c r="O83" t="str" cm="1">
        <f t="array" ref="O83">_xlfn.SWITCH(J83,"M","Medium","L","Light","D","Dark")</f>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 = 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f t="shared" si="2"/>
        <v>100.39499999999998</v>
      </c>
      <c r="N84" t="str">
        <f t="shared" si="3"/>
        <v>Liberica</v>
      </c>
      <c r="O84" t="str" cm="1">
        <f t="array" ref="O84">_xlfn.SWITCH(J84,"M","Medium","L","Light","D","Dark")</f>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 = 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f t="shared" si="2"/>
        <v>82.339999999999989</v>
      </c>
      <c r="N85" t="str">
        <f t="shared" si="3"/>
        <v>Robusta</v>
      </c>
      <c r="O85" t="str" cm="1">
        <f t="array" ref="O85">_xlfn.SWITCH(J85,"M","Medium","L","Light","D","Dark")</f>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 = 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f t="shared" si="2"/>
        <v>9.51</v>
      </c>
      <c r="N86" t="str">
        <f t="shared" si="3"/>
        <v>Liberica</v>
      </c>
      <c r="O86" t="str" cm="1">
        <f t="array" ref="O86">_xlfn.SWITCH(J86,"M","Medium","L","Light","D","Dark")</f>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 = 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f t="shared" si="2"/>
        <v>89.35499999999999</v>
      </c>
      <c r="N87" t="str">
        <f t="shared" si="3"/>
        <v>Arabica</v>
      </c>
      <c r="O87" t="str" cm="1">
        <f t="array" ref="O87">_xlfn.SWITCH(J87,"M","Medium","L","Light","D","Dark")</f>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 = 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f t="shared" si="2"/>
        <v>11.94</v>
      </c>
      <c r="N88" t="str">
        <f t="shared" si="3"/>
        <v>Arabica</v>
      </c>
      <c r="O88" t="str" cm="1">
        <f t="array" ref="O88">_xlfn.SWITCH(J88,"M","Medium","L","Light","D","Dark")</f>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 = 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f t="shared" si="2"/>
        <v>33.75</v>
      </c>
      <c r="N89" t="str">
        <f t="shared" si="3"/>
        <v>Arabica</v>
      </c>
      <c r="O89" t="str" cm="1">
        <f t="array" ref="O89">_xlfn.SWITCH(J89,"M","Medium","L","Light","D","Dark")</f>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 = 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f t="shared" si="2"/>
        <v>35.849999999999994</v>
      </c>
      <c r="N90" t="str">
        <f t="shared" si="3"/>
        <v>Robusta</v>
      </c>
      <c r="O90" t="str" cm="1">
        <f t="array" ref="O90">_xlfn.SWITCH(J90,"M","Medium","L","Light","D","Dark")</f>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 = 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f t="shared" si="2"/>
        <v>77.699999999999989</v>
      </c>
      <c r="N91" t="str">
        <f t="shared" si="3"/>
        <v>Arabica</v>
      </c>
      <c r="O91" t="str" cm="1">
        <f t="array" ref="O91">_xlfn.SWITCH(J91,"M","Medium","L","Light","D","Dark")</f>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 = 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f t="shared" si="2"/>
        <v>51.8</v>
      </c>
      <c r="N92" t="str">
        <f t="shared" si="3"/>
        <v>Arabica</v>
      </c>
      <c r="O92" t="str" cm="1">
        <f t="array" ref="O92">_xlfn.SWITCH(J92,"M","Medium","L","Light","D","Dark")</f>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 = 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f t="shared" si="2"/>
        <v>103.49999999999999</v>
      </c>
      <c r="N93" t="str">
        <f t="shared" si="3"/>
        <v>Arabica</v>
      </c>
      <c r="O93" t="str" cm="1">
        <f t="array" ref="O93">_xlfn.SWITCH(J93,"M","Medium","L","Light","D","Dark")</f>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 = 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f t="shared" si="2"/>
        <v>44.55</v>
      </c>
      <c r="N94" t="str">
        <f t="shared" si="3"/>
        <v>Excelsa</v>
      </c>
      <c r="O94" t="str" cm="1">
        <f t="array" ref="O94">_xlfn.SWITCH(J94,"M","Medium","L","Light","D","Dark")</f>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 = 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f t="shared" si="2"/>
        <v>35.64</v>
      </c>
      <c r="N95" t="str">
        <f t="shared" si="3"/>
        <v>Excelsa</v>
      </c>
      <c r="O95" t="str" cm="1">
        <f t="array" ref="O95">_xlfn.SWITCH(J95,"M","Medium","L","Light","D","Dark")</f>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 = 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f t="shared" si="2"/>
        <v>17.91</v>
      </c>
      <c r="N96" t="str">
        <f t="shared" si="3"/>
        <v>Arabica</v>
      </c>
      <c r="O96" t="str" cm="1">
        <f t="array" ref="O96">_xlfn.SWITCH(J96,"M","Medium","L","Light","D","Dark")</f>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 = 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f t="shared" si="2"/>
        <v>155.24999999999997</v>
      </c>
      <c r="N97" t="str">
        <f t="shared" si="3"/>
        <v>Arabica</v>
      </c>
      <c r="O97" t="str" cm="1">
        <f t="array" ref="O97">_xlfn.SWITCH(J97,"M","Medium","L","Light","D","Dark")</f>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 = 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f t="shared" si="2"/>
        <v>5.97</v>
      </c>
      <c r="N98" t="str">
        <f t="shared" si="3"/>
        <v>Arabica</v>
      </c>
      <c r="O98" t="str" cm="1">
        <f t="array" ref="O98">_xlfn.SWITCH(J98,"M","Medium","L","Light","D","Dark")</f>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 = 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f t="shared" si="2"/>
        <v>13.5</v>
      </c>
      <c r="N99" t="str">
        <f t="shared" si="3"/>
        <v>Arabica</v>
      </c>
      <c r="O99" t="str" cm="1">
        <f t="array" ref="O99">_xlfn.SWITCH(J99,"M","Medium","L","Light","D","Dark")</f>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 = 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f t="shared" si="2"/>
        <v>2.9849999999999999</v>
      </c>
      <c r="N100" t="str">
        <f t="shared" si="3"/>
        <v>Arabica</v>
      </c>
      <c r="O100" t="str" cm="1">
        <f t="array" ref="O100">_xlfn.SWITCH(J100,"M","Medium","L","Light","D","Dark")</f>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 = 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f t="shared" si="2"/>
        <v>13.095000000000001</v>
      </c>
      <c r="N101" t="str">
        <f t="shared" si="3"/>
        <v>Liberica</v>
      </c>
      <c r="O101" t="str" cm="1">
        <f t="array" ref="O101">_xlfn.SWITCH(J101,"M","Medium","L","Light","D","Dark")</f>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 = 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f t="shared" si="2"/>
        <v>7.77</v>
      </c>
      <c r="N102" t="str">
        <f t="shared" si="3"/>
        <v>Arabica</v>
      </c>
      <c r="O102" t="str" cm="1">
        <f t="array" ref="O102">_xlfn.SWITCH(J102,"M","Medium","L","Light","D","Dark")</f>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 = 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f t="shared" si="2"/>
        <v>148.92499999999998</v>
      </c>
      <c r="N103" t="str">
        <f t="shared" si="3"/>
        <v>Liberica</v>
      </c>
      <c r="O103" t="str" cm="1">
        <f t="array" ref="O103">_xlfn.SWITCH(J103,"M","Medium","L","Light","D","Dark")</f>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 = 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f t="shared" si="2"/>
        <v>38.849999999999994</v>
      </c>
      <c r="N104" t="str">
        <f t="shared" si="3"/>
        <v>Liberica</v>
      </c>
      <c r="O104" t="str" cm="1">
        <f t="array" ref="O104">_xlfn.SWITCH(J104,"M","Medium","L","Light","D","Dark")</f>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 = 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f t="shared" si="2"/>
        <v>11.94</v>
      </c>
      <c r="N105" t="str">
        <f t="shared" si="3"/>
        <v>Robusta</v>
      </c>
      <c r="O105" t="str" cm="1">
        <f t="array" ref="O105">_xlfn.SWITCH(J105,"M","Medium","L","Light","D","Dark")</f>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 = 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f t="shared" si="2"/>
        <v>87.300000000000011</v>
      </c>
      <c r="N106" t="str">
        <f t="shared" si="3"/>
        <v>Liberica</v>
      </c>
      <c r="O106" t="str" cm="1">
        <f t="array" ref="O106">_xlfn.SWITCH(J106,"M","Medium","L","Light","D","Dark")</f>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 = 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f t="shared" si="2"/>
        <v>40.5</v>
      </c>
      <c r="N107" t="str">
        <f t="shared" si="3"/>
        <v>Arabica</v>
      </c>
      <c r="O107" t="str" cm="1">
        <f t="array" ref="O107">_xlfn.SWITCH(J107,"M","Medium","L","Light","D","Dark")</f>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 = 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f t="shared" si="2"/>
        <v>24.3</v>
      </c>
      <c r="N108" t="str">
        <f t="shared" si="3"/>
        <v>Excelsa</v>
      </c>
      <c r="O108" t="str" cm="1">
        <f t="array" ref="O108">_xlfn.SWITCH(J108,"M","Medium","L","Light","D","Dark")</f>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 = 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f t="shared" si="2"/>
        <v>17.91</v>
      </c>
      <c r="N109" t="str">
        <f t="shared" si="3"/>
        <v>Robusta</v>
      </c>
      <c r="O109" t="str" cm="1">
        <f t="array" ref="O109">_xlfn.SWITCH(J109,"M","Medium","L","Light","D","Dark")</f>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 = 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f t="shared" si="2"/>
        <v>27</v>
      </c>
      <c r="N110" t="str">
        <f t="shared" si="3"/>
        <v>Arabica</v>
      </c>
      <c r="O110" t="str" cm="1">
        <f t="array" ref="O110">_xlfn.SWITCH(J110,"M","Medium","L","Light","D","Dark")</f>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 = 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f t="shared" si="2"/>
        <v>7.77</v>
      </c>
      <c r="N111" t="str">
        <f t="shared" si="3"/>
        <v>Liberica</v>
      </c>
      <c r="O111" t="str" cm="1">
        <f t="array" ref="O111">_xlfn.SWITCH(J111,"M","Medium","L","Light","D","Dark")</f>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 = 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f t="shared" si="2"/>
        <v>13.365</v>
      </c>
      <c r="N112" t="str">
        <f t="shared" si="3"/>
        <v>Excelsa</v>
      </c>
      <c r="O112" t="str" cm="1">
        <f t="array" ref="O112">_xlfn.SWITCH(J112,"M","Medium","L","Light","D","Dark")</f>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 = 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f t="shared" si="2"/>
        <v>26.849999999999994</v>
      </c>
      <c r="N113" t="str">
        <f t="shared" si="3"/>
        <v>Robusta</v>
      </c>
      <c r="O113" t="str" cm="1">
        <f t="array" ref="O113">_xlfn.SWITCH(J113,"M","Medium","L","Light","D","Dark")</f>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 = 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f t="shared" si="2"/>
        <v>11.25</v>
      </c>
      <c r="N114" t="str">
        <f t="shared" si="3"/>
        <v>Arabica</v>
      </c>
      <c r="O114" t="str" cm="1">
        <f t="array" ref="O114">_xlfn.SWITCH(J114,"M","Medium","L","Light","D","Dark")</f>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 = 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f t="shared" si="2"/>
        <v>14.55</v>
      </c>
      <c r="N115" t="str">
        <f t="shared" si="3"/>
        <v>Liberica</v>
      </c>
      <c r="O115" t="str" cm="1">
        <f t="array" ref="O115">_xlfn.SWITCH(J115,"M","Medium","L","Light","D","Dark")</f>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 = 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f t="shared" si="2"/>
        <v>14.339999999999998</v>
      </c>
      <c r="N116" t="str">
        <f t="shared" si="3"/>
        <v>Robusta</v>
      </c>
      <c r="O116" t="str" cm="1">
        <f t="array" ref="O116">_xlfn.SWITCH(J116,"M","Medium","L","Light","D","Dark")</f>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 = 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f t="shared" si="2"/>
        <v>15.85</v>
      </c>
      <c r="N117" t="str">
        <f t="shared" si="3"/>
        <v>Liberica</v>
      </c>
      <c r="O117" t="str" cm="1">
        <f t="array" ref="O117">_xlfn.SWITCH(J117,"M","Medium","L","Light","D","Dark")</f>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 = 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f t="shared" si="2"/>
        <v>19.02</v>
      </c>
      <c r="N118" t="str">
        <f t="shared" si="3"/>
        <v>Liberica</v>
      </c>
      <c r="O118" t="str" cm="1">
        <f t="array" ref="O118">_xlfn.SWITCH(J118,"M","Medium","L","Light","D","Dark")</f>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 = 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f t="shared" si="2"/>
        <v>38.04</v>
      </c>
      <c r="N119" t="str">
        <f t="shared" si="3"/>
        <v>Liberica</v>
      </c>
      <c r="O119" t="str" cm="1">
        <f t="array" ref="O119">_xlfn.SWITCH(J119,"M","Medium","L","Light","D","Dark")</f>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 = 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f t="shared" si="2"/>
        <v>21.87</v>
      </c>
      <c r="N120" t="str">
        <f t="shared" si="3"/>
        <v>Excelsa</v>
      </c>
      <c r="O120" t="str" cm="1">
        <f t="array" ref="O120">_xlfn.SWITCH(J120,"M","Medium","L","Light","D","Dark")</f>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 = 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f t="shared" si="2"/>
        <v>4.125</v>
      </c>
      <c r="N121" t="str">
        <f t="shared" si="3"/>
        <v>Excelsa</v>
      </c>
      <c r="O121" t="str" cm="1">
        <f t="array" ref="O121">_xlfn.SWITCH(J121,"M","Medium","L","Light","D","Dark")</f>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 = 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f t="shared" si="2"/>
        <v>3.8849999999999998</v>
      </c>
      <c r="N122" t="str">
        <f t="shared" si="3"/>
        <v>Arabica</v>
      </c>
      <c r="O122" t="str" cm="1">
        <f t="array" ref="O122">_xlfn.SWITCH(J122,"M","Medium","L","Light","D","Dark")</f>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 = 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f t="shared" si="2"/>
        <v>68.75</v>
      </c>
      <c r="N123" t="str">
        <f t="shared" si="3"/>
        <v>Excelsa</v>
      </c>
      <c r="O123" t="str" cm="1">
        <f t="array" ref="O123">_xlfn.SWITCH(J123,"M","Medium","L","Light","D","Dark")</f>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 = 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f t="shared" si="2"/>
        <v>23.88</v>
      </c>
      <c r="N124" t="str">
        <f t="shared" si="3"/>
        <v>Arabica</v>
      </c>
      <c r="O124" t="str" cm="1">
        <f t="array" ref="O124">_xlfn.SWITCH(J124,"M","Medium","L","Light","D","Dark")</f>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 = 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f t="shared" si="2"/>
        <v>145.82</v>
      </c>
      <c r="N125" t="str">
        <f t="shared" si="3"/>
        <v>Liberica</v>
      </c>
      <c r="O125" t="str" cm="1">
        <f t="array" ref="O125">_xlfn.SWITCH(J125,"M","Medium","L","Light","D","Dark")</f>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 = 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f t="shared" si="2"/>
        <v>21.825000000000003</v>
      </c>
      <c r="N126" t="str">
        <f t="shared" si="3"/>
        <v>Liberica</v>
      </c>
      <c r="O126" t="str" cm="1">
        <f t="array" ref="O126">_xlfn.SWITCH(J126,"M","Medium","L","Light","D","Dark")</f>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 = 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f t="shared" si="2"/>
        <v>26.19</v>
      </c>
      <c r="N127" t="str">
        <f t="shared" si="3"/>
        <v>Liberica</v>
      </c>
      <c r="O127" t="str" cm="1">
        <f t="array" ref="O127">_xlfn.SWITCH(J127,"M","Medium","L","Light","D","Dark")</f>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 = 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f t="shared" si="2"/>
        <v>11.25</v>
      </c>
      <c r="N128" t="str">
        <f t="shared" si="3"/>
        <v>Arabica</v>
      </c>
      <c r="O128" t="str" cm="1">
        <f t="array" ref="O128">_xlfn.SWITCH(J128,"M","Medium","L","Light","D","Dark")</f>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 = 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f t="shared" si="2"/>
        <v>77.699999999999989</v>
      </c>
      <c r="N129" t="str">
        <f t="shared" si="3"/>
        <v>Liberica</v>
      </c>
      <c r="O129" t="str" cm="1">
        <f t="array" ref="O129">_xlfn.SWITCH(J129,"M","Medium","L","Light","D","Dark")</f>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 = 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f t="shared" si="2"/>
        <v>6.75</v>
      </c>
      <c r="N130" t="str">
        <f t="shared" si="3"/>
        <v>Arabica</v>
      </c>
      <c r="O130" t="str" cm="1">
        <f t="array" ref="O130">_xlfn.SWITCH(J130,"M","Medium","L","Light","D","Dark")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 = 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f t="shared" ref="M131:M194" si="4">L131*E131</f>
        <v>12.15</v>
      </c>
      <c r="N131" t="str">
        <f t="shared" ref="N131:N194" si="5">IF(I131="Rob","Robusta",IF(I131="Exc","Excelsa",IF(I131="Ara","Arabica",IF(I131="Lib","Liberica",""))))</f>
        <v>Excelsa</v>
      </c>
      <c r="O131" t="str" cm="1">
        <f t="array" ref="O131">_xlfn.SWITCH(J131,"M","Medium","L","Light","D","Dark")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 = 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f t="shared" si="4"/>
        <v>148.92499999999998</v>
      </c>
      <c r="N132" t="str">
        <f t="shared" si="5"/>
        <v>Arabica</v>
      </c>
      <c r="O132" t="str" cm="1">
        <f t="array" ref="O132">_xlfn.SWITCH(J132,"M","Medium","L","Light","D","Dark")</f>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 = 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f t="shared" si="4"/>
        <v>14.58</v>
      </c>
      <c r="N133" t="str">
        <f t="shared" si="5"/>
        <v>Excelsa</v>
      </c>
      <c r="O133" t="str" cm="1">
        <f t="array" ref="O133">_xlfn.SWITCH(J133,"M","Medium","L","Light","D","Dark")</f>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 = 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f t="shared" si="4"/>
        <v>148.92499999999998</v>
      </c>
      <c r="N134" t="str">
        <f t="shared" si="5"/>
        <v>Arabica</v>
      </c>
      <c r="O134" t="str" cm="1">
        <f t="array" ref="O134">_xlfn.SWITCH(J134,"M","Medium","L","Light","D","Dark")</f>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 = 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f t="shared" si="4"/>
        <v>12.95</v>
      </c>
      <c r="N135" t="str">
        <f t="shared" si="5"/>
        <v>Liberica</v>
      </c>
      <c r="O135" t="str" cm="1">
        <f t="array" ref="O135">_xlfn.SWITCH(J135,"M","Medium","L","Light","D","Dark")</f>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 = 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f t="shared" si="4"/>
        <v>94.874999999999986</v>
      </c>
      <c r="N136" t="str">
        <f t="shared" si="5"/>
        <v>Excelsa</v>
      </c>
      <c r="O136" t="str" cm="1">
        <f t="array" ref="O136">_xlfn.SWITCH(J136,"M","Medium","L","Light","D","Dark")</f>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 = 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f t="shared" si="4"/>
        <v>38.849999999999994</v>
      </c>
      <c r="N137" t="str">
        <f t="shared" si="5"/>
        <v>Arabica</v>
      </c>
      <c r="O137" t="str" cm="1">
        <f t="array" ref="O137">_xlfn.SWITCH(J137,"M","Medium","L","Light","D","Dark")</f>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 = 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f t="shared" si="4"/>
        <v>11.94</v>
      </c>
      <c r="N138" t="str">
        <f t="shared" si="5"/>
        <v>Arabica</v>
      </c>
      <c r="O138" t="str" cm="1">
        <f t="array" ref="O138">_xlfn.SWITCH(J138,"M","Medium","L","Light","D","Dark")</f>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 = 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f t="shared" si="4"/>
        <v>102.46499999999997</v>
      </c>
      <c r="N139" t="str">
        <f t="shared" si="5"/>
        <v>Excelsa</v>
      </c>
      <c r="O139" t="str" cm="1">
        <f t="array" ref="O139">_xlfn.SWITCH(J139,"M","Medium","L","Light","D","Dark")</f>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 = 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f t="shared" si="4"/>
        <v>48.6</v>
      </c>
      <c r="N140" t="str">
        <f t="shared" si="5"/>
        <v>Excelsa</v>
      </c>
      <c r="O140" t="str" cm="1">
        <f t="array" ref="O140">_xlfn.SWITCH(J140,"M","Medium","L","Light","D","Dark")</f>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 = 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f t="shared" si="4"/>
        <v>77.699999999999989</v>
      </c>
      <c r="N141" t="str">
        <f t="shared" si="5"/>
        <v>Liberica</v>
      </c>
      <c r="O141" t="str" cm="1">
        <f t="array" ref="O141">_xlfn.SWITCH(J141,"M","Medium","L","Light","D","Dark")</f>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 = 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f t="shared" si="4"/>
        <v>29.784999999999997</v>
      </c>
      <c r="N142" t="str">
        <f t="shared" si="5"/>
        <v>Liberica</v>
      </c>
      <c r="O142" t="str" cm="1">
        <f t="array" ref="O142">_xlfn.SWITCH(J142,"M","Medium","L","Light","D","Dark")</f>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 = 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f t="shared" si="4"/>
        <v>15.54</v>
      </c>
      <c r="N143" t="str">
        <f t="shared" si="5"/>
        <v>Arabica</v>
      </c>
      <c r="O143" t="str" cm="1">
        <f t="array" ref="O143">_xlfn.SWITCH(J143,"M","Medium","L","Light","D","Dark")</f>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 = 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f t="shared" si="4"/>
        <v>136.61999999999998</v>
      </c>
      <c r="N144" t="str">
        <f t="shared" si="5"/>
        <v>Excelsa</v>
      </c>
      <c r="O144" t="str" cm="1">
        <f t="array" ref="O144">_xlfn.SWITCH(J144,"M","Medium","L","Light","D","Dark")</f>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 = 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f t="shared" si="4"/>
        <v>17.46</v>
      </c>
      <c r="N145" t="str">
        <f t="shared" si="5"/>
        <v>Liberica</v>
      </c>
      <c r="O145" t="str" cm="1">
        <f t="array" ref="O145">_xlfn.SWITCH(J145,"M","Medium","L","Light","D","Dark")</f>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 = 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f t="shared" si="4"/>
        <v>68.309999999999988</v>
      </c>
      <c r="N146" t="str">
        <f t="shared" si="5"/>
        <v>Excelsa</v>
      </c>
      <c r="O146" t="str" cm="1">
        <f t="array" ref="O146">_xlfn.SWITCH(J146,"M","Medium","L","Light","D","Dark")</f>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 = 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f t="shared" si="4"/>
        <v>17.46</v>
      </c>
      <c r="N147" t="str">
        <f t="shared" si="5"/>
        <v>Liberica</v>
      </c>
      <c r="O147" t="str" cm="1">
        <f t="array" ref="O147">_xlfn.SWITCH(J147,"M","Medium","L","Light","D","Dark")</f>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 = 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f t="shared" si="4"/>
        <v>43.650000000000006</v>
      </c>
      <c r="N148" t="str">
        <f t="shared" si="5"/>
        <v>Liberica</v>
      </c>
      <c r="O148" t="str" cm="1">
        <f t="array" ref="O148">_xlfn.SWITCH(J148,"M","Medium","L","Light","D","Dark")</f>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 = 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f t="shared" si="4"/>
        <v>27.5</v>
      </c>
      <c r="N149" t="str">
        <f t="shared" si="5"/>
        <v>Excelsa</v>
      </c>
      <c r="O149" t="str" cm="1">
        <f t="array" ref="O149">_xlfn.SWITCH(J149,"M","Medium","L","Light","D","Dark")</f>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 = 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f t="shared" si="4"/>
        <v>18.225000000000001</v>
      </c>
      <c r="N150" t="str">
        <f t="shared" si="5"/>
        <v>Excelsa</v>
      </c>
      <c r="O150" t="str" cm="1">
        <f t="array" ref="O150">_xlfn.SWITCH(J150,"M","Medium","L","Light","D","Dark")</f>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 = 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f t="shared" si="4"/>
        <v>51.749999999999993</v>
      </c>
      <c r="N151" t="str">
        <f t="shared" si="5"/>
        <v>Arabica</v>
      </c>
      <c r="O151" t="str" cm="1">
        <f t="array" ref="O151">_xlfn.SWITCH(J151,"M","Medium","L","Light","D","Dark")</f>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 = 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f t="shared" si="4"/>
        <v>12.95</v>
      </c>
      <c r="N152" t="str">
        <f t="shared" si="5"/>
        <v>Liberica</v>
      </c>
      <c r="O152" t="str" cm="1">
        <f t="array" ref="O152">_xlfn.SWITCH(J152,"M","Medium","L","Light","D","Dark")</f>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 = 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f t="shared" si="4"/>
        <v>33.75</v>
      </c>
      <c r="N153" t="str">
        <f t="shared" si="5"/>
        <v>Arabica</v>
      </c>
      <c r="O153" t="str" cm="1">
        <f t="array" ref="O153">_xlfn.SWITCH(J153,"M","Medium","L","Light","D","Dark")</f>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 = 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f t="shared" si="4"/>
        <v>68.655000000000001</v>
      </c>
      <c r="N154" t="str">
        <f t="shared" si="5"/>
        <v>Robusta</v>
      </c>
      <c r="O154" t="str" cm="1">
        <f t="array" ref="O154">_xlfn.SWITCH(J154,"M","Medium","L","Light","D","Dark")</f>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 = 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f t="shared" si="4"/>
        <v>2.6849999999999996</v>
      </c>
      <c r="N155" t="str">
        <f t="shared" si="5"/>
        <v>Robusta</v>
      </c>
      <c r="O155" t="str" cm="1">
        <f t="array" ref="O155">_xlfn.SWITCH(J155,"M","Medium","L","Light","D","Dark")</f>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 = 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f t="shared" si="4"/>
        <v>114.42499999999998</v>
      </c>
      <c r="N156" t="str">
        <f t="shared" si="5"/>
        <v>Arabica</v>
      </c>
      <c r="O156" t="str" cm="1">
        <f t="array" ref="O156">_xlfn.SWITCH(J156,"M","Medium","L","Light","D","Dark")</f>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 = 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f t="shared" si="4"/>
        <v>155.24999999999997</v>
      </c>
      <c r="N157" t="str">
        <f t="shared" si="5"/>
        <v>Arabica</v>
      </c>
      <c r="O157" t="str" cm="1">
        <f t="array" ref="O157">_xlfn.SWITCH(J157,"M","Medium","L","Light","D","Dark")</f>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 = 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f t="shared" si="4"/>
        <v>77.624999999999986</v>
      </c>
      <c r="N158" t="str">
        <f t="shared" si="5"/>
        <v>Arabica</v>
      </c>
      <c r="O158" t="str" cm="1">
        <f t="array" ref="O158">_xlfn.SWITCH(J158,"M","Medium","L","Light","D","Dark")</f>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 = 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f t="shared" si="4"/>
        <v>61.754999999999995</v>
      </c>
      <c r="N159" t="str">
        <f t="shared" si="5"/>
        <v>Robusta</v>
      </c>
      <c r="O159" t="str" cm="1">
        <f t="array" ref="O159">_xlfn.SWITCH(J159,"M","Medium","L","Light","D","Dark")</f>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 = 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f t="shared" si="4"/>
        <v>123.50999999999999</v>
      </c>
      <c r="N160" t="str">
        <f t="shared" si="5"/>
        <v>Robusta</v>
      </c>
      <c r="O160" t="str" cm="1">
        <f t="array" ref="O160">_xlfn.SWITCH(J160,"M","Medium","L","Light","D","Dark")</f>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 = 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f t="shared" si="4"/>
        <v>218.73</v>
      </c>
      <c r="N161" t="str">
        <f t="shared" si="5"/>
        <v>Liberica</v>
      </c>
      <c r="O161" t="str" cm="1">
        <f t="array" ref="O161">_xlfn.SWITCH(J161,"M","Medium","L","Light","D","Dark")</f>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 = 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f t="shared" si="4"/>
        <v>33</v>
      </c>
      <c r="N162" t="str">
        <f t="shared" si="5"/>
        <v>Excelsa</v>
      </c>
      <c r="O162" t="str" cm="1">
        <f t="array" ref="O162">_xlfn.SWITCH(J162,"M","Medium","L","Light","D","Dark")</f>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 = 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f t="shared" si="4"/>
        <v>23.31</v>
      </c>
      <c r="N163" t="str">
        <f t="shared" si="5"/>
        <v>Arabica</v>
      </c>
      <c r="O163" t="str" cm="1">
        <f t="array" ref="O163">_xlfn.SWITCH(J163,"M","Medium","L","Light","D","Dark")</f>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 = 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f t="shared" si="4"/>
        <v>21.87</v>
      </c>
      <c r="N164" t="str">
        <f t="shared" si="5"/>
        <v>Excelsa</v>
      </c>
      <c r="O164" t="str" cm="1">
        <f t="array" ref="O164">_xlfn.SWITCH(J164,"M","Medium","L","Light","D","Dark")</f>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 = 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f t="shared" si="4"/>
        <v>16.11</v>
      </c>
      <c r="N165" t="str">
        <f t="shared" si="5"/>
        <v>Robusta</v>
      </c>
      <c r="O165" t="str" cm="1">
        <f t="array" ref="O165">_xlfn.SWITCH(J165,"M","Medium","L","Light","D","Dark")</f>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 = 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f t="shared" si="4"/>
        <v>29.16</v>
      </c>
      <c r="N166" t="str">
        <f t="shared" si="5"/>
        <v>Excelsa</v>
      </c>
      <c r="O166" t="str" cm="1">
        <f t="array" ref="O166">_xlfn.SWITCH(J166,"M","Medium","L","Light","D","Dark")</f>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 = 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f t="shared" si="4"/>
        <v>53.699999999999996</v>
      </c>
      <c r="N167" t="str">
        <f t="shared" si="5"/>
        <v>Robusta</v>
      </c>
      <c r="O167" t="str" cm="1">
        <f t="array" ref="O167">_xlfn.SWITCH(J167,"M","Medium","L","Light","D","Dark")</f>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 = 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f t="shared" si="4"/>
        <v>26.849999999999994</v>
      </c>
      <c r="N168" t="str">
        <f t="shared" si="5"/>
        <v>Robusta</v>
      </c>
      <c r="O168" t="str" cm="1">
        <f t="array" ref="O168">_xlfn.SWITCH(J168,"M","Medium","L","Light","D","Dark")</f>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 = 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f t="shared" si="4"/>
        <v>41.25</v>
      </c>
      <c r="N169" t="str">
        <f t="shared" si="5"/>
        <v>Excelsa</v>
      </c>
      <c r="O169" t="str" cm="1">
        <f t="array" ref="O169">_xlfn.SWITCH(J169,"M","Medium","L","Light","D","Dark")</f>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 = 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f t="shared" si="4"/>
        <v>40.5</v>
      </c>
      <c r="N170" t="str">
        <f t="shared" si="5"/>
        <v>Arabica</v>
      </c>
      <c r="O170" t="str" cm="1">
        <f t="array" ref="O170">_xlfn.SWITCH(J170,"M","Medium","L","Light","D","Dark")</f>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 = 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f t="shared" si="4"/>
        <v>17.899999999999999</v>
      </c>
      <c r="N171" t="str">
        <f t="shared" si="5"/>
        <v>Robusta</v>
      </c>
      <c r="O171" t="str" cm="1">
        <f t="array" ref="O171">_xlfn.SWITCH(J171,"M","Medium","L","Light","D","Dark")</f>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 = 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f t="shared" si="4"/>
        <v>68.309999999999988</v>
      </c>
      <c r="N172" t="str">
        <f t="shared" si="5"/>
        <v>Excelsa</v>
      </c>
      <c r="O172" t="str" cm="1">
        <f t="array" ref="O172">_xlfn.SWITCH(J172,"M","Medium","L","Light","D","Dark")</f>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 = 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f t="shared" si="4"/>
        <v>63.249999999999993</v>
      </c>
      <c r="N173" t="str">
        <f t="shared" si="5"/>
        <v>Excelsa</v>
      </c>
      <c r="O173" t="str" cm="1">
        <f t="array" ref="O173">_xlfn.SWITCH(J173,"M","Medium","L","Light","D","Dark")</f>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 = 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f t="shared" si="4"/>
        <v>21.87</v>
      </c>
      <c r="N174" t="str">
        <f t="shared" si="5"/>
        <v>Excelsa</v>
      </c>
      <c r="O174" t="str" cm="1">
        <f t="array" ref="O174">_xlfn.SWITCH(J174,"M","Medium","L","Light","D","Dark")</f>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 = 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f t="shared" si="4"/>
        <v>91.539999999999992</v>
      </c>
      <c r="N175" t="str">
        <f t="shared" si="5"/>
        <v>Robusta</v>
      </c>
      <c r="O175" t="str" cm="1">
        <f t="array" ref="O175">_xlfn.SWITCH(J175,"M","Medium","L","Light","D","Dark")</f>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 = 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f t="shared" si="4"/>
        <v>204.92999999999995</v>
      </c>
      <c r="N176" t="str">
        <f t="shared" si="5"/>
        <v>Excelsa</v>
      </c>
      <c r="O176" t="str" cm="1">
        <f t="array" ref="O176">_xlfn.SWITCH(J176,"M","Medium","L","Light","D","Dark")</f>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 = 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f t="shared" si="4"/>
        <v>63.249999999999993</v>
      </c>
      <c r="N177" t="str">
        <f t="shared" si="5"/>
        <v>Excelsa</v>
      </c>
      <c r="O177" t="str" cm="1">
        <f t="array" ref="O177">_xlfn.SWITCH(J177,"M","Medium","L","Light","D","Dark")</f>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 = 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f t="shared" si="4"/>
        <v>34.154999999999994</v>
      </c>
      <c r="N178" t="str">
        <f t="shared" si="5"/>
        <v>Excelsa</v>
      </c>
      <c r="O178" t="str" cm="1">
        <f t="array" ref="O178">_xlfn.SWITCH(J178,"M","Medium","L","Light","D","Dark")</f>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 = 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f t="shared" si="4"/>
        <v>109.93999999999998</v>
      </c>
      <c r="N179" t="str">
        <f t="shared" si="5"/>
        <v>Robusta</v>
      </c>
      <c r="O179" t="str" cm="1">
        <f t="array" ref="O179">_xlfn.SWITCH(J179,"M","Medium","L","Light","D","Dark")</f>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 = 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f t="shared" si="4"/>
        <v>25.9</v>
      </c>
      <c r="N180" t="str">
        <f t="shared" si="5"/>
        <v>Arabica</v>
      </c>
      <c r="O180" t="str" cm="1">
        <f t="array" ref="O180">_xlfn.SWITCH(J180,"M","Medium","L","Light","D","Dark")</f>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 = 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f t="shared" si="4"/>
        <v>2.9849999999999999</v>
      </c>
      <c r="N181" t="str">
        <f t="shared" si="5"/>
        <v>Arabica</v>
      </c>
      <c r="O181" t="str" cm="1">
        <f t="array" ref="O181">_xlfn.SWITCH(J181,"M","Medium","L","Light","D","Dark")</f>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 = 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f t="shared" si="4"/>
        <v>22.274999999999999</v>
      </c>
      <c r="N182" t="str">
        <f t="shared" si="5"/>
        <v>Excelsa</v>
      </c>
      <c r="O182" t="str" cm="1">
        <f t="array" ref="O182">_xlfn.SWITCH(J182,"M","Medium","L","Light","D","Dark")</f>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 = 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f t="shared" si="4"/>
        <v>29.849999999999998</v>
      </c>
      <c r="N183" t="str">
        <f t="shared" si="5"/>
        <v>Arabica</v>
      </c>
      <c r="O183" t="str" cm="1">
        <f t="array" ref="O183">_xlfn.SWITCH(J183,"M","Medium","L","Light","D","Dark")</f>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 = 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f t="shared" si="4"/>
        <v>32.22</v>
      </c>
      <c r="N184" t="str">
        <f t="shared" si="5"/>
        <v>Robusta</v>
      </c>
      <c r="O184" t="str" cm="1">
        <f t="array" ref="O184">_xlfn.SWITCH(J184,"M","Medium","L","Light","D","Dark")</f>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 = 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f t="shared" si="4"/>
        <v>8.25</v>
      </c>
      <c r="N185" t="str">
        <f t="shared" si="5"/>
        <v>Excelsa</v>
      </c>
      <c r="O185" t="str" cm="1">
        <f t="array" ref="O185">_xlfn.SWITCH(J185,"M","Medium","L","Light","D","Dark")</f>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 = 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f t="shared" si="4"/>
        <v>31.08</v>
      </c>
      <c r="N186" t="str">
        <f t="shared" si="5"/>
        <v>Arabica</v>
      </c>
      <c r="O186" t="str" cm="1">
        <f t="array" ref="O186">_xlfn.SWITCH(J186,"M","Medium","L","Light","D","Dark")</f>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 = 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f t="shared" si="4"/>
        <v>36.450000000000003</v>
      </c>
      <c r="N187" t="str">
        <f t="shared" si="5"/>
        <v>Excelsa</v>
      </c>
      <c r="O187" t="str" cm="1">
        <f t="array" ref="O187">_xlfn.SWITCH(J187,"M","Medium","L","Light","D","Dark")</f>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 = 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f t="shared" si="4"/>
        <v>68.655000000000001</v>
      </c>
      <c r="N188" t="str">
        <f t="shared" si="5"/>
        <v>Robusta</v>
      </c>
      <c r="O188" t="str" cm="1">
        <f t="array" ref="O188">_xlfn.SWITCH(J188,"M","Medium","L","Light","D","Dark")</f>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 = 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f t="shared" si="4"/>
        <v>43.650000000000006</v>
      </c>
      <c r="N189" t="str">
        <f t="shared" si="5"/>
        <v>Liberica</v>
      </c>
      <c r="O189" t="str" cm="1">
        <f t="array" ref="O189">_xlfn.SWITCH(J189,"M","Medium","L","Light","D","Dark")</f>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 = 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f t="shared" si="4"/>
        <v>4.4550000000000001</v>
      </c>
      <c r="N190" t="str">
        <f t="shared" si="5"/>
        <v>Excelsa</v>
      </c>
      <c r="O190" t="str" cm="1">
        <f t="array" ref="O190">_xlfn.SWITCH(J190,"M","Medium","L","Light","D","Dark")</f>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 = 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f t="shared" si="4"/>
        <v>43.650000000000006</v>
      </c>
      <c r="N191" t="str">
        <f t="shared" si="5"/>
        <v>Liberica</v>
      </c>
      <c r="O191" t="str" cm="1">
        <f t="array" ref="O191">_xlfn.SWITCH(J191,"M","Medium","L","Light","D","Dark")</f>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 = 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f t="shared" si="4"/>
        <v>33.464999999999996</v>
      </c>
      <c r="N192" t="str">
        <f t="shared" si="5"/>
        <v>Liberica</v>
      </c>
      <c r="O192" t="str" cm="1">
        <f t="array" ref="O192">_xlfn.SWITCH(J192,"M","Medium","L","Light","D","Dark")</f>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 = 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f t="shared" si="4"/>
        <v>19.424999999999997</v>
      </c>
      <c r="N193" t="str">
        <f t="shared" si="5"/>
        <v>Liberica</v>
      </c>
      <c r="O193" t="str" cm="1">
        <f t="array" ref="O193">_xlfn.SWITCH(J193,"M","Medium","L","Light","D","Dark")</f>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 = 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f t="shared" si="4"/>
        <v>72.900000000000006</v>
      </c>
      <c r="N194" t="str">
        <f t="shared" si="5"/>
        <v>Excelsa</v>
      </c>
      <c r="O194" t="str" cm="1">
        <f t="array" ref="O194">_xlfn.SWITCH(J194,"M","Medium","L","Light","D","Dark")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 = 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f t="shared" ref="M195:M258" si="6">L195*E195</f>
        <v>44.55</v>
      </c>
      <c r="N195" t="str">
        <f t="shared" ref="N195:N258" si="7">IF(I195="Rob","Robusta",IF(I195="Exc","Excelsa",IF(I195="Ara","Arabica",IF(I195="Lib","Liberica",""))))</f>
        <v>Excelsa</v>
      </c>
      <c r="O195" t="str" cm="1">
        <f t="array" ref="O195">_xlfn.SWITCH(J195,"M","Medium","L","Light","D","Dark")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 = 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f t="shared" si="6"/>
        <v>36.450000000000003</v>
      </c>
      <c r="N196" t="str">
        <f t="shared" si="7"/>
        <v>Excelsa</v>
      </c>
      <c r="O196" t="str" cm="1">
        <f t="array" ref="O196">_xlfn.SWITCH(J196,"M","Medium","L","Light","D","Dark")</f>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 = 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f t="shared" si="6"/>
        <v>38.849999999999994</v>
      </c>
      <c r="N197" t="str">
        <f t="shared" si="7"/>
        <v>Arabica</v>
      </c>
      <c r="O197" t="str" cm="1">
        <f t="array" ref="O197">_xlfn.SWITCH(J197,"M","Medium","L","Light","D","Dark")</f>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 = 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f t="shared" si="6"/>
        <v>53.46</v>
      </c>
      <c r="N198" t="str">
        <f t="shared" si="7"/>
        <v>Excelsa</v>
      </c>
      <c r="O198" t="str" cm="1">
        <f t="array" ref="O198">_xlfn.SWITCH(J198,"M","Medium","L","Light","D","Dark")</f>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 = 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f t="shared" si="6"/>
        <v>59.569999999999993</v>
      </c>
      <c r="N199" t="str">
        <f t="shared" si="7"/>
        <v>Liberica</v>
      </c>
      <c r="O199" t="str" cm="1">
        <f t="array" ref="O199">_xlfn.SWITCH(J199,"M","Medium","L","Light","D","Dark")</f>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 = 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f t="shared" si="6"/>
        <v>89.35499999999999</v>
      </c>
      <c r="N200" t="str">
        <f t="shared" si="7"/>
        <v>Liberica</v>
      </c>
      <c r="O200" t="str" cm="1">
        <f t="array" ref="O200">_xlfn.SWITCH(J200,"M","Medium","L","Light","D","Dark")</f>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 = 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f t="shared" si="6"/>
        <v>38.04</v>
      </c>
      <c r="N201" t="str">
        <f t="shared" si="7"/>
        <v>Liberica</v>
      </c>
      <c r="O201" t="str" cm="1">
        <f t="array" ref="O201">_xlfn.SWITCH(J201,"M","Medium","L","Light","D","Dark")</f>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 = 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f t="shared" si="6"/>
        <v>41.25</v>
      </c>
      <c r="N202" t="str">
        <f t="shared" si="7"/>
        <v>Excelsa</v>
      </c>
      <c r="O202" t="str" cm="1">
        <f t="array" ref="O202">_xlfn.SWITCH(J202,"M","Medium","L","Light","D","Dark")</f>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 = 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f t="shared" si="6"/>
        <v>57.06</v>
      </c>
      <c r="N203" t="str">
        <f t="shared" si="7"/>
        <v>Liberica</v>
      </c>
      <c r="O203" t="str" cm="1">
        <f t="array" ref="O203">_xlfn.SWITCH(J203,"M","Medium","L","Light","D","Dark")</f>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 = 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f t="shared" si="6"/>
        <v>178.70999999999998</v>
      </c>
      <c r="N204" t="str">
        <f t="shared" si="7"/>
        <v>Liberica</v>
      </c>
      <c r="O204" t="str" cm="1">
        <f t="array" ref="O204">_xlfn.SWITCH(J204,"M","Medium","L","Light","D","Dark")</f>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 = 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f t="shared" si="6"/>
        <v>4.7549999999999999</v>
      </c>
      <c r="N205" t="str">
        <f t="shared" si="7"/>
        <v>Liberica</v>
      </c>
      <c r="O205" t="str" cm="1">
        <f t="array" ref="O205">_xlfn.SWITCH(J205,"M","Medium","L","Light","D","Dark")</f>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 = 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f t="shared" si="6"/>
        <v>82.5</v>
      </c>
      <c r="N206" t="str">
        <f t="shared" si="7"/>
        <v>Excelsa</v>
      </c>
      <c r="O206" t="str" cm="1">
        <f t="array" ref="O206">_xlfn.SWITCH(J206,"M","Medium","L","Light","D","Dark")</f>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 = 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f t="shared" si="6"/>
        <v>8.0549999999999997</v>
      </c>
      <c r="N207" t="str">
        <f t="shared" si="7"/>
        <v>Robusta</v>
      </c>
      <c r="O207" t="str" cm="1">
        <f t="array" ref="O207">_xlfn.SWITCH(J207,"M","Medium","L","Light","D","Dark")</f>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 = 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f t="shared" si="6"/>
        <v>22.5</v>
      </c>
      <c r="N208" t="str">
        <f t="shared" si="7"/>
        <v>Arabica</v>
      </c>
      <c r="O208" t="str" cm="1">
        <f t="array" ref="O208">_xlfn.SWITCH(J208,"M","Medium","L","Light","D","Dark")</f>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 = 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f t="shared" si="6"/>
        <v>40.5</v>
      </c>
      <c r="N209" t="str">
        <f t="shared" si="7"/>
        <v>Arabica</v>
      </c>
      <c r="O209" t="str" cm="1">
        <f t="array" ref="O209">_xlfn.SWITCH(J209,"M","Medium","L","Light","D","Dark")</f>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 = 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f t="shared" si="6"/>
        <v>29.16</v>
      </c>
      <c r="N210" t="str">
        <f t="shared" si="7"/>
        <v>Excelsa</v>
      </c>
      <c r="O210" t="str" cm="1">
        <f t="array" ref="O210">_xlfn.SWITCH(J210,"M","Medium","L","Light","D","Dark")</f>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 = 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f t="shared" si="6"/>
        <v>6.75</v>
      </c>
      <c r="N211" t="str">
        <f t="shared" si="7"/>
        <v>Arabica</v>
      </c>
      <c r="O211" t="str" cm="1">
        <f t="array" ref="O211">_xlfn.SWITCH(J211,"M","Medium","L","Light","D","Dark")</f>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 = 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f t="shared" si="6"/>
        <v>51.8</v>
      </c>
      <c r="N212" t="str">
        <f t="shared" si="7"/>
        <v>Liberica</v>
      </c>
      <c r="O212" t="str" cm="1">
        <f t="array" ref="O212">_xlfn.SWITCH(J212,"M","Medium","L","Light","D","Dark")</f>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 = 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f t="shared" si="6"/>
        <v>53.46</v>
      </c>
      <c r="N213" t="str">
        <f t="shared" si="7"/>
        <v>Excelsa</v>
      </c>
      <c r="O213" t="str" cm="1">
        <f t="array" ref="O213">_xlfn.SWITCH(J213,"M","Medium","L","Light","D","Dark")</f>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 = 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f t="shared" si="6"/>
        <v>14.58</v>
      </c>
      <c r="N214" t="str">
        <f t="shared" si="7"/>
        <v>Excelsa</v>
      </c>
      <c r="O214" t="str" cm="1">
        <f t="array" ref="O214">_xlfn.SWITCH(J214,"M","Medium","L","Light","D","Dark")</f>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 = 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f t="shared" si="6"/>
        <v>20.584999999999997</v>
      </c>
      <c r="N215" t="str">
        <f t="shared" si="7"/>
        <v>Robusta</v>
      </c>
      <c r="O215" t="str" cm="1">
        <f t="array" ref="O215">_xlfn.SWITCH(J215,"M","Medium","L","Light","D","Dark")</f>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 = 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f t="shared" si="6"/>
        <v>31.7</v>
      </c>
      <c r="N216" t="str">
        <f t="shared" si="7"/>
        <v>Liberica</v>
      </c>
      <c r="O216" t="str" cm="1">
        <f t="array" ref="O216">_xlfn.SWITCH(J216,"M","Medium","L","Light","D","Dark")</f>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 = 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f t="shared" si="6"/>
        <v>23.31</v>
      </c>
      <c r="N217" t="str">
        <f t="shared" si="7"/>
        <v>Liberica</v>
      </c>
      <c r="O217" t="str" cm="1">
        <f t="array" ref="O217">_xlfn.SWITCH(J217,"M","Medium","L","Light","D","Dark")</f>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 = 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f t="shared" si="6"/>
        <v>58.2</v>
      </c>
      <c r="N218" t="str">
        <f t="shared" si="7"/>
        <v>Liberica</v>
      </c>
      <c r="O218" t="str" cm="1">
        <f t="array" ref="O218">_xlfn.SWITCH(J218,"M","Medium","L","Light","D","Dark")</f>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 = 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f t="shared" si="6"/>
        <v>35.64</v>
      </c>
      <c r="N219" t="str">
        <f t="shared" si="7"/>
        <v>Excelsa</v>
      </c>
      <c r="O219" t="str" cm="1">
        <f t="array" ref="O219">_xlfn.SWITCH(J219,"M","Medium","L","Light","D","Dark")</f>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 = 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f t="shared" si="6"/>
        <v>56.25</v>
      </c>
      <c r="N220" t="str">
        <f t="shared" si="7"/>
        <v>Arabica</v>
      </c>
      <c r="O220" t="str" cm="1">
        <f t="array" ref="O220">_xlfn.SWITCH(J220,"M","Medium","L","Light","D","Dark")</f>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 = 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f t="shared" si="6"/>
        <v>10.754999999999999</v>
      </c>
      <c r="N221" t="str">
        <f t="shared" si="7"/>
        <v>Robusta</v>
      </c>
      <c r="O221" t="str" cm="1">
        <f t="array" ref="O221">_xlfn.SWITCH(J221,"M","Medium","L","Light","D","Dark")</f>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 = 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f t="shared" si="6"/>
        <v>14.924999999999999</v>
      </c>
      <c r="N222" t="str">
        <f t="shared" si="7"/>
        <v>Robusta</v>
      </c>
      <c r="O222" t="str" cm="1">
        <f t="array" ref="O222">_xlfn.SWITCH(J222,"M","Medium","L","Light","D","Dark")</f>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 = 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f t="shared" si="6"/>
        <v>77.699999999999989</v>
      </c>
      <c r="N223" t="str">
        <f t="shared" si="7"/>
        <v>Arabica</v>
      </c>
      <c r="O223" t="str" cm="1">
        <f t="array" ref="O223">_xlfn.SWITCH(J223,"M","Medium","L","Light","D","Dark")</f>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 = 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f t="shared" si="6"/>
        <v>23.31</v>
      </c>
      <c r="N224" t="str">
        <f t="shared" si="7"/>
        <v>Liberica</v>
      </c>
      <c r="O224" t="str" cm="1">
        <f t="array" ref="O224">_xlfn.SWITCH(J224,"M","Medium","L","Light","D","Dark")</f>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 = 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f t="shared" si="6"/>
        <v>59.4</v>
      </c>
      <c r="N225" t="str">
        <f t="shared" si="7"/>
        <v>Excelsa</v>
      </c>
      <c r="O225" t="str" cm="1">
        <f t="array" ref="O225">_xlfn.SWITCH(J225,"M","Medium","L","Light","D","Dark")</f>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 = 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f t="shared" si="6"/>
        <v>119.13999999999999</v>
      </c>
      <c r="N226" t="str">
        <f t="shared" si="7"/>
        <v>Liberica</v>
      </c>
      <c r="O226" t="str" cm="1">
        <f t="array" ref="O226">_xlfn.SWITCH(J226,"M","Medium","L","Light","D","Dark")</f>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 = 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f t="shared" si="6"/>
        <v>14.339999999999998</v>
      </c>
      <c r="N227" t="str">
        <f t="shared" si="7"/>
        <v>Robusta</v>
      </c>
      <c r="O227" t="str" cm="1">
        <f t="array" ref="O227">_xlfn.SWITCH(J227,"M","Medium","L","Light","D","Dark")</f>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 = 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f t="shared" si="6"/>
        <v>129.37499999999997</v>
      </c>
      <c r="N228" t="str">
        <f t="shared" si="7"/>
        <v>Arabica</v>
      </c>
      <c r="O228" t="str" cm="1">
        <f t="array" ref="O228">_xlfn.SWITCH(J228,"M","Medium","L","Light","D","Dark")</f>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 = 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f t="shared" si="6"/>
        <v>16.11</v>
      </c>
      <c r="N229" t="str">
        <f t="shared" si="7"/>
        <v>Robusta</v>
      </c>
      <c r="O229" t="str" cm="1">
        <f t="array" ref="O229">_xlfn.SWITCH(J229,"M","Medium","L","Light","D","Dark")</f>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 = 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f t="shared" si="6"/>
        <v>17.924999999999997</v>
      </c>
      <c r="N230" t="str">
        <f t="shared" si="7"/>
        <v>Robusta</v>
      </c>
      <c r="O230" t="str" cm="1">
        <f t="array" ref="O230">_xlfn.SWITCH(J230,"M","Medium","L","Light","D","Dark")</f>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 = 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f t="shared" si="6"/>
        <v>8.73</v>
      </c>
      <c r="N231" t="str">
        <f t="shared" si="7"/>
        <v>Liberica</v>
      </c>
      <c r="O231" t="str" cm="1">
        <f t="array" ref="O231">_xlfn.SWITCH(J231,"M","Medium","L","Light","D","Dark")</f>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 = 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f t="shared" si="6"/>
        <v>51.749999999999993</v>
      </c>
      <c r="N232" t="str">
        <f t="shared" si="7"/>
        <v>Arabica</v>
      </c>
      <c r="O232" t="str" cm="1">
        <f t="array" ref="O232">_xlfn.SWITCH(J232,"M","Medium","L","Light","D","Dark")</f>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 = 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f t="shared" si="6"/>
        <v>8.73</v>
      </c>
      <c r="N233" t="str">
        <f t="shared" si="7"/>
        <v>Liberica</v>
      </c>
      <c r="O233" t="str" cm="1">
        <f t="array" ref="O233">_xlfn.SWITCH(J233,"M","Medium","L","Light","D","Dark")</f>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 = 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f t="shared" si="6"/>
        <v>23.774999999999999</v>
      </c>
      <c r="N234" t="str">
        <f t="shared" si="7"/>
        <v>Liberica</v>
      </c>
      <c r="O234" t="str" cm="1">
        <f t="array" ref="O234">_xlfn.SWITCH(J234,"M","Medium","L","Light","D","Dark")</f>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 = 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f t="shared" si="6"/>
        <v>20.625</v>
      </c>
      <c r="N235" t="str">
        <f t="shared" si="7"/>
        <v>Excelsa</v>
      </c>
      <c r="O235" t="str" cm="1">
        <f t="array" ref="O235">_xlfn.SWITCH(J235,"M","Medium","L","Light","D","Dark")</f>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 = 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f t="shared" si="6"/>
        <v>36.454999999999998</v>
      </c>
      <c r="N236" t="str">
        <f t="shared" si="7"/>
        <v>Liberica</v>
      </c>
      <c r="O236" t="str" cm="1">
        <f t="array" ref="O236">_xlfn.SWITCH(J236,"M","Medium","L","Light","D","Dark")</f>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 = 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f t="shared" si="6"/>
        <v>182.27499999999998</v>
      </c>
      <c r="N237" t="str">
        <f t="shared" si="7"/>
        <v>Liberica</v>
      </c>
      <c r="O237" t="str" cm="1">
        <f t="array" ref="O237">_xlfn.SWITCH(J237,"M","Medium","L","Light","D","Dark")</f>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 = 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f t="shared" si="6"/>
        <v>89.35499999999999</v>
      </c>
      <c r="N238" t="str">
        <f t="shared" si="7"/>
        <v>Liberica</v>
      </c>
      <c r="O238" t="str" cm="1">
        <f t="array" ref="O238">_xlfn.SWITCH(J238,"M","Medium","L","Light","D","Dark")</f>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 = 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f t="shared" si="6"/>
        <v>3.5849999999999995</v>
      </c>
      <c r="N239" t="str">
        <f t="shared" si="7"/>
        <v>Robusta</v>
      </c>
      <c r="O239" t="str" cm="1">
        <f t="array" ref="O239">_xlfn.SWITCH(J239,"M","Medium","L","Light","D","Dark")</f>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 = 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f t="shared" si="6"/>
        <v>45.769999999999996</v>
      </c>
      <c r="N240" t="str">
        <f t="shared" si="7"/>
        <v>Robusta</v>
      </c>
      <c r="O240" t="str" cm="1">
        <f t="array" ref="O240">_xlfn.SWITCH(J240,"M","Medium","L","Light","D","Dark")</f>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 = 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f t="shared" si="6"/>
        <v>59.4</v>
      </c>
      <c r="N241" t="str">
        <f t="shared" si="7"/>
        <v>Excelsa</v>
      </c>
      <c r="O241" t="str" cm="1">
        <f t="array" ref="O241">_xlfn.SWITCH(J241,"M","Medium","L","Light","D","Dark")</f>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 = 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f t="shared" si="6"/>
        <v>155.24999999999997</v>
      </c>
      <c r="N242" t="str">
        <f t="shared" si="7"/>
        <v>Arabica</v>
      </c>
      <c r="O242" t="str" cm="1">
        <f t="array" ref="O242">_xlfn.SWITCH(J242,"M","Medium","L","Light","D","Dark")</f>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 = 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f t="shared" si="6"/>
        <v>45.769999999999996</v>
      </c>
      <c r="N243" t="str">
        <f t="shared" si="7"/>
        <v>Robusta</v>
      </c>
      <c r="O243" t="str" cm="1">
        <f t="array" ref="O243">_xlfn.SWITCH(J243,"M","Medium","L","Light","D","Dark")</f>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 = 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f t="shared" si="6"/>
        <v>36.450000000000003</v>
      </c>
      <c r="N244" t="str">
        <f t="shared" si="7"/>
        <v>Excelsa</v>
      </c>
      <c r="O244" t="str" cm="1">
        <f t="array" ref="O244">_xlfn.SWITCH(J244,"M","Medium","L","Light","D","Dark")</f>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 = 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f t="shared" si="6"/>
        <v>29.16</v>
      </c>
      <c r="N245" t="str">
        <f t="shared" si="7"/>
        <v>Excelsa</v>
      </c>
      <c r="O245" t="str" cm="1">
        <f t="array" ref="O245">_xlfn.SWITCH(J245,"M","Medium","L","Light","D","Dark")</f>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 = 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f t="shared" si="6"/>
        <v>133.85999999999999</v>
      </c>
      <c r="N246" t="str">
        <f t="shared" si="7"/>
        <v>Liberica</v>
      </c>
      <c r="O246" t="str" cm="1">
        <f t="array" ref="O246">_xlfn.SWITCH(J246,"M","Medium","L","Light","D","Dark")</f>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 = 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f t="shared" si="6"/>
        <v>23.774999999999999</v>
      </c>
      <c r="N247" t="str">
        <f t="shared" si="7"/>
        <v>Liberica</v>
      </c>
      <c r="O247" t="str" cm="1">
        <f t="array" ref="O247">_xlfn.SWITCH(J247,"M","Medium","L","Light","D","Dark")</f>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 = 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f t="shared" si="6"/>
        <v>38.849999999999994</v>
      </c>
      <c r="N248" t="str">
        <f t="shared" si="7"/>
        <v>Liberica</v>
      </c>
      <c r="O248" t="str" cm="1">
        <f t="array" ref="O248">_xlfn.SWITCH(J248,"M","Medium","L","Light","D","Dark")</f>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 = 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f t="shared" si="6"/>
        <v>21.509999999999998</v>
      </c>
      <c r="N249" t="str">
        <f t="shared" si="7"/>
        <v>Robusta</v>
      </c>
      <c r="O249" t="str" cm="1">
        <f t="array" ref="O249">_xlfn.SWITCH(J249,"M","Medium","L","Light","D","Dark")</f>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 = 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f t="shared" si="6"/>
        <v>9.9499999999999993</v>
      </c>
      <c r="N250" t="str">
        <f t="shared" si="7"/>
        <v>Arabica</v>
      </c>
      <c r="O250" t="str" cm="1">
        <f t="array" ref="O250">_xlfn.SWITCH(J250,"M","Medium","L","Light","D","Dark")</f>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 = 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f t="shared" si="6"/>
        <v>15.85</v>
      </c>
      <c r="N251" t="str">
        <f t="shared" si="7"/>
        <v>Liberica</v>
      </c>
      <c r="O251" t="str" cm="1">
        <f t="array" ref="O251">_xlfn.SWITCH(J251,"M","Medium","L","Light","D","Dark")</f>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 = 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f t="shared" si="6"/>
        <v>2.9849999999999999</v>
      </c>
      <c r="N252" t="str">
        <f t="shared" si="7"/>
        <v>Robusta</v>
      </c>
      <c r="O252" t="str" cm="1">
        <f t="array" ref="O252">_xlfn.SWITCH(J252,"M","Medium","L","Light","D","Dark")</f>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 = 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f t="shared" si="6"/>
        <v>68.75</v>
      </c>
      <c r="N253" t="str">
        <f t="shared" si="7"/>
        <v>Excelsa</v>
      </c>
      <c r="O253" t="str" cm="1">
        <f t="array" ref="O253">_xlfn.SWITCH(J253,"M","Medium","L","Light","D","Dark")</f>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 = 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f t="shared" si="6"/>
        <v>29.849999999999998</v>
      </c>
      <c r="N254" t="str">
        <f t="shared" si="7"/>
        <v>Arabica</v>
      </c>
      <c r="O254" t="str" cm="1">
        <f t="array" ref="O254">_xlfn.SWITCH(J254,"M","Medium","L","Light","D","Dark")</f>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 = 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f t="shared" si="6"/>
        <v>58.2</v>
      </c>
      <c r="N255" t="str">
        <f t="shared" si="7"/>
        <v>Liberica</v>
      </c>
      <c r="O255" t="str" cm="1">
        <f t="array" ref="O255">_xlfn.SWITCH(J255,"M","Medium","L","Light","D","Dark")</f>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 = 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f t="shared" si="6"/>
        <v>28.679999999999996</v>
      </c>
      <c r="N256" t="str">
        <f t="shared" si="7"/>
        <v>Robusta</v>
      </c>
      <c r="O256" t="str" cm="1">
        <f t="array" ref="O256">_xlfn.SWITCH(J256,"M","Medium","L","Light","D","Dark")</f>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 = 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f t="shared" si="6"/>
        <v>21.509999999999998</v>
      </c>
      <c r="N257" t="str">
        <f t="shared" si="7"/>
        <v>Robusta</v>
      </c>
      <c r="O257" t="str" cm="1">
        <f t="array" ref="O257">_xlfn.SWITCH(J257,"M","Medium","L","Light","D","Dark")</f>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 = 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f t="shared" si="6"/>
        <v>17.46</v>
      </c>
      <c r="N258" t="str">
        <f t="shared" si="7"/>
        <v>Liberica</v>
      </c>
      <c r="O258" t="str" cm="1">
        <f t="array" ref="O258">_xlfn.SWITCH(J258,"M","Medium","L","Light","D","Dark")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 = 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f t="shared" ref="M259:M322" si="8">L259*E259</f>
        <v>27.945</v>
      </c>
      <c r="N259" t="str">
        <f t="shared" ref="N259:N322" si="9">IF(I259="Rob","Robusta",IF(I259="Exc","Excelsa",IF(I259="Ara","Arabica",IF(I259="Lib","Liberica",""))))</f>
        <v>Excelsa</v>
      </c>
      <c r="O259" t="str" cm="1">
        <f t="array" ref="O259">_xlfn.SWITCH(J259,"M","Medium","L","Light","D","Dark")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 = 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f t="shared" si="8"/>
        <v>139.72499999999999</v>
      </c>
      <c r="N260" t="str">
        <f t="shared" si="9"/>
        <v>Excelsa</v>
      </c>
      <c r="O260" t="str" cm="1">
        <f t="array" ref="O260">_xlfn.SWITCH(J260,"M","Medium","L","Light","D","Dark")</f>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 = 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f t="shared" si="8"/>
        <v>5.97</v>
      </c>
      <c r="N261" t="str">
        <f t="shared" si="9"/>
        <v>Robusta</v>
      </c>
      <c r="O261" t="str" cm="1">
        <f t="array" ref="O261">_xlfn.SWITCH(J261,"M","Medium","L","Light","D","Dark")</f>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 = 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f t="shared" si="8"/>
        <v>27.484999999999996</v>
      </c>
      <c r="N262" t="str">
        <f t="shared" si="9"/>
        <v>Robusta</v>
      </c>
      <c r="O262" t="str" cm="1">
        <f t="array" ref="O262">_xlfn.SWITCH(J262,"M","Medium","L","Light","D","Dark")</f>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 = 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f t="shared" si="8"/>
        <v>59.75</v>
      </c>
      <c r="N263" t="str">
        <f t="shared" si="9"/>
        <v>Robusta</v>
      </c>
      <c r="O263" t="str" cm="1">
        <f t="array" ref="O263">_xlfn.SWITCH(J263,"M","Medium","L","Light","D","Dark")</f>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 = 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f t="shared" si="8"/>
        <v>41.25</v>
      </c>
      <c r="N264" t="str">
        <f t="shared" si="9"/>
        <v>Excelsa</v>
      </c>
      <c r="O264" t="str" cm="1">
        <f t="array" ref="O264">_xlfn.SWITCH(J264,"M","Medium","L","Light","D","Dark")</f>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 = 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f t="shared" si="8"/>
        <v>133.85999999999999</v>
      </c>
      <c r="N265" t="str">
        <f t="shared" si="9"/>
        <v>Liberica</v>
      </c>
      <c r="O265" t="str" cm="1">
        <f t="array" ref="O265">_xlfn.SWITCH(J265,"M","Medium","L","Light","D","Dark")</f>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 = 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f t="shared" si="8"/>
        <v>59.75</v>
      </c>
      <c r="N266" t="str">
        <f t="shared" si="9"/>
        <v>Robusta</v>
      </c>
      <c r="O266" t="str" cm="1">
        <f t="array" ref="O266">_xlfn.SWITCH(J266,"M","Medium","L","Light","D","Dark")</f>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 = 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f t="shared" si="8"/>
        <v>5.97</v>
      </c>
      <c r="N267" t="str">
        <f t="shared" si="9"/>
        <v>Arabica</v>
      </c>
      <c r="O267" t="str" cm="1">
        <f t="array" ref="O267">_xlfn.SWITCH(J267,"M","Medium","L","Light","D","Dark")</f>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 = 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f t="shared" si="8"/>
        <v>24.3</v>
      </c>
      <c r="N268" t="str">
        <f t="shared" si="9"/>
        <v>Excelsa</v>
      </c>
      <c r="O268" t="str" cm="1">
        <f t="array" ref="O268">_xlfn.SWITCH(J268,"M","Medium","L","Light","D","Dark")</f>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 = 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f t="shared" si="8"/>
        <v>21.87</v>
      </c>
      <c r="N269" t="str">
        <f t="shared" si="9"/>
        <v>Excelsa</v>
      </c>
      <c r="O269" t="str" cm="1">
        <f t="array" ref="O269">_xlfn.SWITCH(J269,"M","Medium","L","Light","D","Dark")</f>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 = 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f t="shared" si="8"/>
        <v>19.899999999999999</v>
      </c>
      <c r="N270" t="str">
        <f t="shared" si="9"/>
        <v>Arabica</v>
      </c>
      <c r="O270" t="str" cm="1">
        <f t="array" ref="O270">_xlfn.SWITCH(J270,"M","Medium","L","Light","D","Dark")</f>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 = 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f t="shared" si="8"/>
        <v>5.97</v>
      </c>
      <c r="N271" t="str">
        <f t="shared" si="9"/>
        <v>Arabica</v>
      </c>
      <c r="O271" t="str" cm="1">
        <f t="array" ref="O271">_xlfn.SWITCH(J271,"M","Medium","L","Light","D","Dark")</f>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 = 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f t="shared" si="8"/>
        <v>7.29</v>
      </c>
      <c r="N272" t="str">
        <f t="shared" si="9"/>
        <v>Excelsa</v>
      </c>
      <c r="O272" t="str" cm="1">
        <f t="array" ref="O272">_xlfn.SWITCH(J272,"M","Medium","L","Light","D","Dark")</f>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 = 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f t="shared" si="8"/>
        <v>11.94</v>
      </c>
      <c r="N273" t="str">
        <f t="shared" si="9"/>
        <v>Arabica</v>
      </c>
      <c r="O273" t="str" cm="1">
        <f t="array" ref="O273">_xlfn.SWITCH(J273,"M","Medium","L","Light","D","Dark")</f>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 = 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f t="shared" si="8"/>
        <v>71.699999999999989</v>
      </c>
      <c r="N274" t="str">
        <f t="shared" si="9"/>
        <v>Robusta</v>
      </c>
      <c r="O274" t="str" cm="1">
        <f t="array" ref="O274">_xlfn.SWITCH(J274,"M","Medium","L","Light","D","Dark")</f>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 = 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f t="shared" si="8"/>
        <v>7.77</v>
      </c>
      <c r="N275" t="str">
        <f t="shared" si="9"/>
        <v>Arabica</v>
      </c>
      <c r="O275" t="str" cm="1">
        <f t="array" ref="O275">_xlfn.SWITCH(J275,"M","Medium","L","Light","D","Dark")</f>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 = 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f t="shared" si="8"/>
        <v>25.874999999999996</v>
      </c>
      <c r="N276" t="str">
        <f t="shared" si="9"/>
        <v>Arabica</v>
      </c>
      <c r="O276" t="str" cm="1">
        <f t="array" ref="O276">_xlfn.SWITCH(J276,"M","Medium","L","Light","D","Dark")</f>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 = 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f t="shared" si="8"/>
        <v>204.92999999999995</v>
      </c>
      <c r="N277" t="str">
        <f t="shared" si="9"/>
        <v>Excelsa</v>
      </c>
      <c r="O277" t="str" cm="1">
        <f t="array" ref="O277">_xlfn.SWITCH(J277,"M","Medium","L","Light","D","Dark")</f>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 = 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f t="shared" si="8"/>
        <v>109.93999999999998</v>
      </c>
      <c r="N278" t="str">
        <f t="shared" si="9"/>
        <v>Robusta</v>
      </c>
      <c r="O278" t="str" cm="1">
        <f t="array" ref="O278">_xlfn.SWITCH(J278,"M","Medium","L","Light","D","Dark")</f>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 = 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f t="shared" si="8"/>
        <v>89.1</v>
      </c>
      <c r="N279" t="str">
        <f t="shared" si="9"/>
        <v>Excelsa</v>
      </c>
      <c r="O279" t="str" cm="1">
        <f t="array" ref="O279">_xlfn.SWITCH(J279,"M","Medium","L","Light","D","Dark")</f>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 = 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f t="shared" si="8"/>
        <v>7.77</v>
      </c>
      <c r="N280" t="str">
        <f t="shared" si="9"/>
        <v>Arabica</v>
      </c>
      <c r="O280" t="str" cm="1">
        <f t="array" ref="O280">_xlfn.SWITCH(J280,"M","Medium","L","Light","D","Dark")</f>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 = 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f t="shared" si="8"/>
        <v>33.464999999999996</v>
      </c>
      <c r="N281" t="str">
        <f t="shared" si="9"/>
        <v>Liberica</v>
      </c>
      <c r="O281" t="str" cm="1">
        <f t="array" ref="O281">_xlfn.SWITCH(J281,"M","Medium","L","Light","D","Dark")</f>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 = 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f t="shared" si="8"/>
        <v>41.25</v>
      </c>
      <c r="N282" t="str">
        <f t="shared" si="9"/>
        <v>Excelsa</v>
      </c>
      <c r="O282" t="str" cm="1">
        <f t="array" ref="O282">_xlfn.SWITCH(J282,"M","Medium","L","Light","D","Dark")</f>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 = 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f t="shared" si="8"/>
        <v>59.4</v>
      </c>
      <c r="N283" t="str">
        <f t="shared" si="9"/>
        <v>Excelsa</v>
      </c>
      <c r="O283" t="str" cm="1">
        <f t="array" ref="O283">_xlfn.SWITCH(J283,"M","Medium","L","Light","D","Dark")</f>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 = 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f t="shared" si="8"/>
        <v>7.77</v>
      </c>
      <c r="N284" t="str">
        <f t="shared" si="9"/>
        <v>Arabica</v>
      </c>
      <c r="O284" t="str" cm="1">
        <f t="array" ref="O284">_xlfn.SWITCH(J284,"M","Medium","L","Light","D","Dark")</f>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 = 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f t="shared" si="8"/>
        <v>5.3699999999999992</v>
      </c>
      <c r="N285" t="str">
        <f t="shared" si="9"/>
        <v>Robusta</v>
      </c>
      <c r="O285" t="str" cm="1">
        <f t="array" ref="O285">_xlfn.SWITCH(J285,"M","Medium","L","Light","D","Dark")</f>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 = 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f t="shared" si="8"/>
        <v>94.874999999999986</v>
      </c>
      <c r="N286" t="str">
        <f t="shared" si="9"/>
        <v>Excelsa</v>
      </c>
      <c r="O286" t="str" cm="1">
        <f t="array" ref="O286">_xlfn.SWITCH(J286,"M","Medium","L","Light","D","Dark")</f>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 = 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f t="shared" si="8"/>
        <v>36.454999999999998</v>
      </c>
      <c r="N287" t="str">
        <f t="shared" si="9"/>
        <v>Liberica</v>
      </c>
      <c r="O287" t="str" cm="1">
        <f t="array" ref="O287">_xlfn.SWITCH(J287,"M","Medium","L","Light","D","Dark")</f>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 = 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f t="shared" si="8"/>
        <v>13.5</v>
      </c>
      <c r="N288" t="str">
        <f t="shared" si="9"/>
        <v>Arabica</v>
      </c>
      <c r="O288" t="str" cm="1">
        <f t="array" ref="O288">_xlfn.SWITCH(J288,"M","Medium","L","Light","D","Dark")</f>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 = 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f t="shared" si="8"/>
        <v>14.339999999999998</v>
      </c>
      <c r="N289" t="str">
        <f t="shared" si="9"/>
        <v>Robusta</v>
      </c>
      <c r="O289" t="str" cm="1">
        <f t="array" ref="O289">_xlfn.SWITCH(J289,"M","Medium","L","Light","D","Dark")</f>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 = 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f t="shared" si="8"/>
        <v>8.25</v>
      </c>
      <c r="N290" t="str">
        <f t="shared" si="9"/>
        <v>Excelsa</v>
      </c>
      <c r="O290" t="str" cm="1">
        <f t="array" ref="O290">_xlfn.SWITCH(J290,"M","Medium","L","Light","D","Dark")</f>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 = 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f t="shared" si="8"/>
        <v>13.424999999999997</v>
      </c>
      <c r="N291" t="str">
        <f t="shared" si="9"/>
        <v>Robusta</v>
      </c>
      <c r="O291" t="str" cm="1">
        <f t="array" ref="O291">_xlfn.SWITCH(J291,"M","Medium","L","Light","D","Dark")</f>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 = 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f t="shared" si="8"/>
        <v>49.75</v>
      </c>
      <c r="N292" t="str">
        <f t="shared" si="9"/>
        <v>Arabica</v>
      </c>
      <c r="O292" t="str" cm="1">
        <f t="array" ref="O292">_xlfn.SWITCH(J292,"M","Medium","L","Light","D","Dark")</f>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 = 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f t="shared" si="8"/>
        <v>16.5</v>
      </c>
      <c r="N293" t="str">
        <f t="shared" si="9"/>
        <v>Excelsa</v>
      </c>
      <c r="O293" t="str" cm="1">
        <f t="array" ref="O293">_xlfn.SWITCH(J293,"M","Medium","L","Light","D","Dark")</f>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 = 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f t="shared" si="8"/>
        <v>17.91</v>
      </c>
      <c r="N294" t="str">
        <f t="shared" si="9"/>
        <v>Arabica</v>
      </c>
      <c r="O294" t="str" cm="1">
        <f t="array" ref="O294">_xlfn.SWITCH(J294,"M","Medium","L","Light","D","Dark")</f>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 = 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f t="shared" si="8"/>
        <v>29.849999999999998</v>
      </c>
      <c r="N295" t="str">
        <f t="shared" si="9"/>
        <v>Arabica</v>
      </c>
      <c r="O295" t="str" cm="1">
        <f t="array" ref="O295">_xlfn.SWITCH(J295,"M","Medium","L","Light","D","Dark")</f>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 = 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f t="shared" si="8"/>
        <v>44.55</v>
      </c>
      <c r="N296" t="str">
        <f t="shared" si="9"/>
        <v>Excelsa</v>
      </c>
      <c r="O296" t="str" cm="1">
        <f t="array" ref="O296">_xlfn.SWITCH(J296,"M","Medium","L","Light","D","Dark")</f>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 = 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f t="shared" si="8"/>
        <v>27.5</v>
      </c>
      <c r="N297" t="str">
        <f t="shared" si="9"/>
        <v>Excelsa</v>
      </c>
      <c r="O297" t="str" cm="1">
        <f t="array" ref="O297">_xlfn.SWITCH(J297,"M","Medium","L","Light","D","Dark")</f>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 = 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f t="shared" si="8"/>
        <v>35.82</v>
      </c>
      <c r="N298" t="str">
        <f t="shared" si="9"/>
        <v>Robusta</v>
      </c>
      <c r="O298" t="str" cm="1">
        <f t="array" ref="O298">_xlfn.SWITCH(J298,"M","Medium","L","Light","D","Dark")</f>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 = 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f t="shared" si="8"/>
        <v>16.11</v>
      </c>
      <c r="N299" t="str">
        <f t="shared" si="9"/>
        <v>Robusta</v>
      </c>
      <c r="O299" t="str" cm="1">
        <f t="array" ref="O299">_xlfn.SWITCH(J299,"M","Medium","L","Light","D","Dark")</f>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 = 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f t="shared" si="8"/>
        <v>26.73</v>
      </c>
      <c r="N300" t="str">
        <f t="shared" si="9"/>
        <v>Excelsa</v>
      </c>
      <c r="O300" t="str" cm="1">
        <f t="array" ref="O300">_xlfn.SWITCH(J300,"M","Medium","L","Light","D","Dark")</f>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 = 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f t="shared" si="8"/>
        <v>204.92999999999995</v>
      </c>
      <c r="N301" t="str">
        <f t="shared" si="9"/>
        <v>Excelsa</v>
      </c>
      <c r="O301" t="str" cm="1">
        <f t="array" ref="O301">_xlfn.SWITCH(J301,"M","Medium","L","Light","D","Dark")</f>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 = 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f t="shared" si="8"/>
        <v>38.849999999999994</v>
      </c>
      <c r="N302" t="str">
        <f t="shared" si="9"/>
        <v>Arabica</v>
      </c>
      <c r="O302" t="str" cm="1">
        <f t="array" ref="O302">_xlfn.SWITCH(J302,"M","Medium","L","Light","D","Dark")</f>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 = 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f t="shared" si="8"/>
        <v>15.54</v>
      </c>
      <c r="N303" t="str">
        <f t="shared" si="9"/>
        <v>Liberica</v>
      </c>
      <c r="O303" t="str" cm="1">
        <f t="array" ref="O303">_xlfn.SWITCH(J303,"M","Medium","L","Light","D","Dark")</f>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 = 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f t="shared" si="8"/>
        <v>6.75</v>
      </c>
      <c r="N304" t="str">
        <f t="shared" si="9"/>
        <v>Arabica</v>
      </c>
      <c r="O304" t="str" cm="1">
        <f t="array" ref="O304">_xlfn.SWITCH(J304,"M","Medium","L","Light","D","Dark")</f>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 = 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f t="shared" si="8"/>
        <v>111.78</v>
      </c>
      <c r="N305" t="str">
        <f t="shared" si="9"/>
        <v>Excelsa</v>
      </c>
      <c r="O305" t="str" cm="1">
        <f t="array" ref="O305">_xlfn.SWITCH(J305,"M","Medium","L","Light","D","Dark")</f>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 = 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f t="shared" si="8"/>
        <v>3.8849999999999998</v>
      </c>
      <c r="N306" t="str">
        <f t="shared" si="9"/>
        <v>Arabica</v>
      </c>
      <c r="O306" t="str" cm="1">
        <f t="array" ref="O306">_xlfn.SWITCH(J306,"M","Medium","L","Light","D","Dark")</f>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 = 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f t="shared" si="8"/>
        <v>21.825000000000003</v>
      </c>
      <c r="N307" t="str">
        <f t="shared" si="9"/>
        <v>Liberica</v>
      </c>
      <c r="O307" t="str" cm="1">
        <f t="array" ref="O307">_xlfn.SWITCH(J307,"M","Medium","L","Light","D","Dark")</f>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 = 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f t="shared" si="8"/>
        <v>14.924999999999999</v>
      </c>
      <c r="N308" t="str">
        <f t="shared" si="9"/>
        <v>Robusta</v>
      </c>
      <c r="O308" t="str" cm="1">
        <f t="array" ref="O308">_xlfn.SWITCH(J308,"M","Medium","L","Light","D","Dark")</f>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 = 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f t="shared" si="8"/>
        <v>33.75</v>
      </c>
      <c r="N309" t="str">
        <f t="shared" si="9"/>
        <v>Arabica</v>
      </c>
      <c r="O309" t="str" cm="1">
        <f t="array" ref="O309">_xlfn.SWITCH(J309,"M","Medium","L","Light","D","Dark")</f>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 = 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f t="shared" si="8"/>
        <v>33.75</v>
      </c>
      <c r="N310" t="str">
        <f t="shared" si="9"/>
        <v>Arabica</v>
      </c>
      <c r="O310" t="str" cm="1">
        <f t="array" ref="O310">_xlfn.SWITCH(J310,"M","Medium","L","Light","D","Dark")</f>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 = 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f t="shared" si="8"/>
        <v>26.19</v>
      </c>
      <c r="N311" t="str">
        <f t="shared" si="9"/>
        <v>Liberica</v>
      </c>
      <c r="O311" t="str" cm="1">
        <f t="array" ref="O311">_xlfn.SWITCH(J311,"M","Medium","L","Light","D","Dark")</f>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 = 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f t="shared" si="8"/>
        <v>14.85</v>
      </c>
      <c r="N312" t="str">
        <f t="shared" si="9"/>
        <v>Excelsa</v>
      </c>
      <c r="O312" t="str" cm="1">
        <f t="array" ref="O312">_xlfn.SWITCH(J312,"M","Medium","L","Light","D","Dark")</f>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 = 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f t="shared" si="8"/>
        <v>189.74999999999997</v>
      </c>
      <c r="N313" t="str">
        <f t="shared" si="9"/>
        <v>Excelsa</v>
      </c>
      <c r="O313" t="str" cm="1">
        <f t="array" ref="O313">_xlfn.SWITCH(J313,"M","Medium","L","Light","D","Dark")</f>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 = 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f t="shared" si="8"/>
        <v>5.97</v>
      </c>
      <c r="N314" t="str">
        <f t="shared" si="9"/>
        <v>Robusta</v>
      </c>
      <c r="O314" t="str" cm="1">
        <f t="array" ref="O314">_xlfn.SWITCH(J314,"M","Medium","L","Light","D","Dark")</f>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 = 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f t="shared" si="8"/>
        <v>29.849999999999998</v>
      </c>
      <c r="N315" t="str">
        <f t="shared" si="9"/>
        <v>Robusta</v>
      </c>
      <c r="O315" t="str" cm="1">
        <f t="array" ref="O315">_xlfn.SWITCH(J315,"M","Medium","L","Light","D","Dark")</f>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 = 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f t="shared" si="8"/>
        <v>44.75</v>
      </c>
      <c r="N316" t="str">
        <f t="shared" si="9"/>
        <v>Robusta</v>
      </c>
      <c r="O316" t="str" cm="1">
        <f t="array" ref="O316">_xlfn.SWITCH(J316,"M","Medium","L","Light","D","Dark")</f>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 = 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f t="shared" si="8"/>
        <v>34.154999999999994</v>
      </c>
      <c r="N317" t="str">
        <f t="shared" si="9"/>
        <v>Excelsa</v>
      </c>
      <c r="O317" t="str" cm="1">
        <f t="array" ref="O317">_xlfn.SWITCH(J317,"M","Medium","L","Light","D","Dark")</f>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 = 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f t="shared" si="8"/>
        <v>204.92999999999995</v>
      </c>
      <c r="N318" t="str">
        <f t="shared" si="9"/>
        <v>Excelsa</v>
      </c>
      <c r="O318" t="str" cm="1">
        <f t="array" ref="O318">_xlfn.SWITCH(J318,"M","Medium","L","Light","D","Dark")</f>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 = 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f t="shared" si="8"/>
        <v>21.87</v>
      </c>
      <c r="N319" t="str">
        <f t="shared" si="9"/>
        <v>Excelsa</v>
      </c>
      <c r="O319" t="str" cm="1">
        <f t="array" ref="O319">_xlfn.SWITCH(J319,"M","Medium","L","Light","D","Dark")</f>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 = 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f t="shared" si="8"/>
        <v>51.749999999999993</v>
      </c>
      <c r="N320" t="str">
        <f t="shared" si="9"/>
        <v>Arabica</v>
      </c>
      <c r="O320" t="str" cm="1">
        <f t="array" ref="O320">_xlfn.SWITCH(J320,"M","Medium","L","Light","D","Dark")</f>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 = 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f t="shared" si="8"/>
        <v>8.25</v>
      </c>
      <c r="N321" t="str">
        <f t="shared" si="9"/>
        <v>Excelsa</v>
      </c>
      <c r="O321" t="str" cm="1">
        <f t="array" ref="O321">_xlfn.SWITCH(J321,"M","Medium","L","Light","D","Dark")</f>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 = 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f t="shared" si="8"/>
        <v>19.424999999999997</v>
      </c>
      <c r="N322" t="str">
        <f t="shared" si="9"/>
        <v>Arabica</v>
      </c>
      <c r="O322" t="str" cm="1">
        <f t="array" ref="O322">_xlfn.SWITCH(J322,"M","Medium","L","Light","D","Dark")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 = 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f t="shared" ref="M323:M386" si="10">L323*E323</f>
        <v>20.25</v>
      </c>
      <c r="N323" t="str">
        <f t="shared" ref="N323:N386" si="11">IF(I323="Rob","Robusta",IF(I323="Exc","Excelsa",IF(I323="Ara","Arabica",IF(I323="Lib","Liberica",""))))</f>
        <v>Arabica</v>
      </c>
      <c r="O323" t="str" cm="1">
        <f t="array" ref="O323">_xlfn.SWITCH(J323,"M","Medium","L","Light","D","Dark")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 = 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f t="shared" si="10"/>
        <v>23.31</v>
      </c>
      <c r="N324" t="str">
        <f t="shared" si="11"/>
        <v>Liberica</v>
      </c>
      <c r="O324" t="str" cm="1">
        <f t="array" ref="O324">_xlfn.SWITCH(J324,"M","Medium","L","Light","D","Dark")</f>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 = 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f t="shared" si="10"/>
        <v>18.225000000000001</v>
      </c>
      <c r="N325" t="str">
        <f t="shared" si="11"/>
        <v>Excelsa</v>
      </c>
      <c r="O325" t="str" cm="1">
        <f t="array" ref="O325">_xlfn.SWITCH(J325,"M","Medium","L","Light","D","Dark")</f>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 = 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f t="shared" si="10"/>
        <v>13.75</v>
      </c>
      <c r="N326" t="str">
        <f t="shared" si="11"/>
        <v>Excelsa</v>
      </c>
      <c r="O326" t="str" cm="1">
        <f t="array" ref="O326">_xlfn.SWITCH(J326,"M","Medium","L","Light","D","Dark")</f>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 = 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f t="shared" si="10"/>
        <v>29.784999999999997</v>
      </c>
      <c r="N327" t="str">
        <f t="shared" si="11"/>
        <v>Arabica</v>
      </c>
      <c r="O327" t="str" cm="1">
        <f t="array" ref="O327">_xlfn.SWITCH(J327,"M","Medium","L","Light","D","Dark")</f>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 = 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f t="shared" si="10"/>
        <v>44.75</v>
      </c>
      <c r="N328" t="str">
        <f t="shared" si="11"/>
        <v>Robusta</v>
      </c>
      <c r="O328" t="str" cm="1">
        <f t="array" ref="O328">_xlfn.SWITCH(J328,"M","Medium","L","Light","D","Dark")</f>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 = 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f t="shared" si="10"/>
        <v>44.75</v>
      </c>
      <c r="N329" t="str">
        <f t="shared" si="11"/>
        <v>Robusta</v>
      </c>
      <c r="O329" t="str" cm="1">
        <f t="array" ref="O329">_xlfn.SWITCH(J329,"M","Medium","L","Light","D","Dark")</f>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 = 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f t="shared" si="10"/>
        <v>38.04</v>
      </c>
      <c r="N330" t="str">
        <f t="shared" si="11"/>
        <v>Liberica</v>
      </c>
      <c r="O330" t="str" cm="1">
        <f t="array" ref="O330">_xlfn.SWITCH(J330,"M","Medium","L","Light","D","Dark")</f>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 = 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f t="shared" si="10"/>
        <v>21.479999999999997</v>
      </c>
      <c r="N331" t="str">
        <f t="shared" si="11"/>
        <v>Robusta</v>
      </c>
      <c r="O331" t="str" cm="1">
        <f t="array" ref="O331">_xlfn.SWITCH(J331,"M","Medium","L","Light","D","Dark")</f>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 = 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f t="shared" si="10"/>
        <v>16.11</v>
      </c>
      <c r="N332" t="str">
        <f t="shared" si="11"/>
        <v>Robusta</v>
      </c>
      <c r="O332" t="str" cm="1">
        <f t="array" ref="O332">_xlfn.SWITCH(J332,"M","Medium","L","Light","D","Dark")</f>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 = 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f t="shared" si="10"/>
        <v>22.884999999999998</v>
      </c>
      <c r="N333" t="str">
        <f t="shared" si="11"/>
        <v>Robusta</v>
      </c>
      <c r="O333" t="str" cm="1">
        <f t="array" ref="O333">_xlfn.SWITCH(J333,"M","Medium","L","Light","D","Dark")</f>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 = 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f t="shared" si="10"/>
        <v>17.91</v>
      </c>
      <c r="N334" t="str">
        <f t="shared" si="11"/>
        <v>Arabica</v>
      </c>
      <c r="O334" t="str" cm="1">
        <f t="array" ref="O334">_xlfn.SWITCH(J334,"M","Medium","L","Light","D","Dark")</f>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 = 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f t="shared" si="10"/>
        <v>23.88</v>
      </c>
      <c r="N335" t="str">
        <f t="shared" si="11"/>
        <v>Robusta</v>
      </c>
      <c r="O335" t="str" cm="1">
        <f t="array" ref="O335">_xlfn.SWITCH(J335,"M","Medium","L","Light","D","Dark")</f>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 = 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f t="shared" si="10"/>
        <v>59.75</v>
      </c>
      <c r="N336" t="str">
        <f t="shared" si="11"/>
        <v>Robusta</v>
      </c>
      <c r="O336" t="str" cm="1">
        <f t="array" ref="O336">_xlfn.SWITCH(J336,"M","Medium","L","Light","D","Dark")</f>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 = 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f t="shared" si="10"/>
        <v>28.53</v>
      </c>
      <c r="N337" t="str">
        <f t="shared" si="11"/>
        <v>Liberica</v>
      </c>
      <c r="O337" t="str" cm="1">
        <f t="array" ref="O337">_xlfn.SWITCH(J337,"M","Medium","L","Light","D","Dark")</f>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 = 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f t="shared" si="10"/>
        <v>45</v>
      </c>
      <c r="N338" t="str">
        <f t="shared" si="11"/>
        <v>Arabica</v>
      </c>
      <c r="O338" t="str" cm="1">
        <f t="array" ref="O338">_xlfn.SWITCH(J338,"M","Medium","L","Light","D","Dark")</f>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 = 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f t="shared" si="10"/>
        <v>55.89</v>
      </c>
      <c r="N339" t="str">
        <f t="shared" si="11"/>
        <v>Excelsa</v>
      </c>
      <c r="O339" t="str" cm="1">
        <f t="array" ref="O339">_xlfn.SWITCH(J339,"M","Medium","L","Light","D","Dark")</f>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 = 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f t="shared" si="10"/>
        <v>59.4</v>
      </c>
      <c r="N340" t="str">
        <f t="shared" si="11"/>
        <v>Excelsa</v>
      </c>
      <c r="O340" t="str" cm="1">
        <f t="array" ref="O340">_xlfn.SWITCH(J340,"M","Medium","L","Light","D","Dark")</f>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 = 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f t="shared" si="10"/>
        <v>7.29</v>
      </c>
      <c r="N341" t="str">
        <f t="shared" si="11"/>
        <v>Excelsa</v>
      </c>
      <c r="O341" t="str" cm="1">
        <f t="array" ref="O341">_xlfn.SWITCH(J341,"M","Medium","L","Light","D","Dark")</f>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 = 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f t="shared" si="10"/>
        <v>7.29</v>
      </c>
      <c r="N342" t="str">
        <f t="shared" si="11"/>
        <v>Excelsa</v>
      </c>
      <c r="O342" t="str" cm="1">
        <f t="array" ref="O342">_xlfn.SWITCH(J342,"M","Medium","L","Light","D","Dark")</f>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 = 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f t="shared" si="10"/>
        <v>17.82</v>
      </c>
      <c r="N343" t="str">
        <f t="shared" si="11"/>
        <v>Excelsa</v>
      </c>
      <c r="O343" t="str" cm="1">
        <f t="array" ref="O343">_xlfn.SWITCH(J343,"M","Medium","L","Light","D","Dark")</f>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 = 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f t="shared" si="10"/>
        <v>38.849999999999994</v>
      </c>
      <c r="N344" t="str">
        <f t="shared" si="11"/>
        <v>Liberica</v>
      </c>
      <c r="O344" t="str" cm="1">
        <f t="array" ref="O344">_xlfn.SWITCH(J344,"M","Medium","L","Light","D","Dark")</f>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 = 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f t="shared" si="10"/>
        <v>32.22</v>
      </c>
      <c r="N345" t="str">
        <f t="shared" si="11"/>
        <v>Robusta</v>
      </c>
      <c r="O345" t="str" cm="1">
        <f t="array" ref="O345">_xlfn.SWITCH(J345,"M","Medium","L","Light","D","Dark")</f>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 = 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f t="shared" si="10"/>
        <v>19.899999999999999</v>
      </c>
      <c r="N346" t="str">
        <f t="shared" si="11"/>
        <v>Robusta</v>
      </c>
      <c r="O346" t="str" cm="1">
        <f t="array" ref="O346">_xlfn.SWITCH(J346,"M","Medium","L","Light","D","Dark")</f>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 = 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f t="shared" si="10"/>
        <v>59.75</v>
      </c>
      <c r="N347" t="str">
        <f t="shared" si="11"/>
        <v>Robusta</v>
      </c>
      <c r="O347" t="str" cm="1">
        <f t="array" ref="O347">_xlfn.SWITCH(J347,"M","Medium","L","Light","D","Dark")</f>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 = 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f t="shared" si="10"/>
        <v>23.31</v>
      </c>
      <c r="N348" t="str">
        <f t="shared" si="11"/>
        <v>Arabica</v>
      </c>
      <c r="O348" t="str" cm="1">
        <f t="array" ref="O348">_xlfn.SWITCH(J348,"M","Medium","L","Light","D","Dark")</f>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 = 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f t="shared" si="10"/>
        <v>43.650000000000006</v>
      </c>
      <c r="N349" t="str">
        <f t="shared" si="11"/>
        <v>Liberica</v>
      </c>
      <c r="O349" t="str" cm="1">
        <f t="array" ref="O349">_xlfn.SWITCH(J349,"M","Medium","L","Light","D","Dark")</f>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 = 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f t="shared" si="10"/>
        <v>204.92999999999995</v>
      </c>
      <c r="N350" t="str">
        <f t="shared" si="11"/>
        <v>Excelsa</v>
      </c>
      <c r="O350" t="str" cm="1">
        <f t="array" ref="O350">_xlfn.SWITCH(J350,"M","Medium","L","Light","D","Dark")</f>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 = 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f t="shared" si="10"/>
        <v>14.339999999999998</v>
      </c>
      <c r="N351" t="str">
        <f t="shared" si="11"/>
        <v>Robusta</v>
      </c>
      <c r="O351" t="str" cm="1">
        <f t="array" ref="O351">_xlfn.SWITCH(J351,"M","Medium","L","Light","D","Dark")</f>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 = 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f t="shared" si="10"/>
        <v>23.88</v>
      </c>
      <c r="N352" t="str">
        <f t="shared" si="11"/>
        <v>Arabica</v>
      </c>
      <c r="O352" t="str" cm="1">
        <f t="array" ref="O352">_xlfn.SWITCH(J352,"M","Medium","L","Light","D","Dark")</f>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 = 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f t="shared" si="10"/>
        <v>22.5</v>
      </c>
      <c r="N353" t="str">
        <f t="shared" si="11"/>
        <v>Arabica</v>
      </c>
      <c r="O353" t="str" cm="1">
        <f t="array" ref="O353">_xlfn.SWITCH(J353,"M","Medium","L","Light","D","Dark")</f>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 = 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f t="shared" si="10"/>
        <v>36.450000000000003</v>
      </c>
      <c r="N354" t="str">
        <f t="shared" si="11"/>
        <v>Excelsa</v>
      </c>
      <c r="O354" t="str" cm="1">
        <f t="array" ref="O354">_xlfn.SWITCH(J354,"M","Medium","L","Light","D","Dark")</f>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 = 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f t="shared" si="10"/>
        <v>27</v>
      </c>
      <c r="N355" t="str">
        <f t="shared" si="11"/>
        <v>Arabica</v>
      </c>
      <c r="O355" t="str" cm="1">
        <f t="array" ref="O355">_xlfn.SWITCH(J355,"M","Medium","L","Light","D","Dark")</f>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 = 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f t="shared" si="10"/>
        <v>155.24999999999997</v>
      </c>
      <c r="N356" t="str">
        <f t="shared" si="11"/>
        <v>Arabica</v>
      </c>
      <c r="O356" t="str" cm="1">
        <f t="array" ref="O356">_xlfn.SWITCH(J356,"M","Medium","L","Light","D","Dark")</f>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 = 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f t="shared" si="10"/>
        <v>114.42499999999998</v>
      </c>
      <c r="N357" t="str">
        <f t="shared" si="11"/>
        <v>Arabica</v>
      </c>
      <c r="O357" t="str" cm="1">
        <f t="array" ref="O357">_xlfn.SWITCH(J357,"M","Medium","L","Light","D","Dark")</f>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 = 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f t="shared" si="10"/>
        <v>51.8</v>
      </c>
      <c r="N358" t="str">
        <f t="shared" si="11"/>
        <v>Liberica</v>
      </c>
      <c r="O358" t="str" cm="1">
        <f t="array" ref="O358">_xlfn.SWITCH(J358,"M","Medium","L","Light","D","Dark")</f>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 = 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f t="shared" si="10"/>
        <v>155.24999999999997</v>
      </c>
      <c r="N359" t="str">
        <f t="shared" si="11"/>
        <v>Arabica</v>
      </c>
      <c r="O359" t="str" cm="1">
        <f t="array" ref="O359">_xlfn.SWITCH(J359,"M","Medium","L","Light","D","Dark")</f>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 = 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f t="shared" si="10"/>
        <v>29.784999999999997</v>
      </c>
      <c r="N360" t="str">
        <f t="shared" si="11"/>
        <v>Arabica</v>
      </c>
      <c r="O360" t="str" cm="1">
        <f t="array" ref="O360">_xlfn.SWITCH(J360,"M","Medium","L","Light","D","Dark")</f>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 = 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f t="shared" si="10"/>
        <v>21.509999999999998</v>
      </c>
      <c r="N361" t="str">
        <f t="shared" si="11"/>
        <v>Robusta</v>
      </c>
      <c r="O361" t="str" cm="1">
        <f t="array" ref="O361">_xlfn.SWITCH(J361,"M","Medium","L","Light","D","Dark")</f>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 = 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f t="shared" si="10"/>
        <v>41.169999999999995</v>
      </c>
      <c r="N362" t="str">
        <f t="shared" si="11"/>
        <v>Robusta</v>
      </c>
      <c r="O362" t="str" cm="1">
        <f t="array" ref="O362">_xlfn.SWITCH(J362,"M","Medium","L","Light","D","Dark")</f>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 = 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f t="shared" si="10"/>
        <v>5.97</v>
      </c>
      <c r="N363" t="str">
        <f t="shared" si="11"/>
        <v>Robusta</v>
      </c>
      <c r="O363" t="str" cm="1">
        <f t="array" ref="O363">_xlfn.SWITCH(J363,"M","Medium","L","Light","D","Dark")</f>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 = 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f t="shared" si="10"/>
        <v>74.25</v>
      </c>
      <c r="N364" t="str">
        <f t="shared" si="11"/>
        <v>Excelsa</v>
      </c>
      <c r="O364" t="str" cm="1">
        <f t="array" ref="O364">_xlfn.SWITCH(J364,"M","Medium","L","Light","D","Dark")</f>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 = 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f t="shared" si="10"/>
        <v>87.300000000000011</v>
      </c>
      <c r="N365" t="str">
        <f t="shared" si="11"/>
        <v>Liberica</v>
      </c>
      <c r="O365" t="str" cm="1">
        <f t="array" ref="O365">_xlfn.SWITCH(J365,"M","Medium","L","Light","D","Dark")</f>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 = 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f t="shared" si="10"/>
        <v>72.900000000000006</v>
      </c>
      <c r="N366" t="str">
        <f t="shared" si="11"/>
        <v>Excelsa</v>
      </c>
      <c r="O366" t="str" cm="1">
        <f t="array" ref="O366">_xlfn.SWITCH(J366,"M","Medium","L","Light","D","Dark")</f>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 = 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f t="shared" si="10"/>
        <v>7.77</v>
      </c>
      <c r="N367" t="str">
        <f t="shared" si="11"/>
        <v>Liberica</v>
      </c>
      <c r="O367" t="str" cm="1">
        <f t="array" ref="O367">_xlfn.SWITCH(J367,"M","Medium","L","Light","D","Dark")</f>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 = 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f t="shared" si="10"/>
        <v>43.74</v>
      </c>
      <c r="N368" t="str">
        <f t="shared" si="11"/>
        <v>Excelsa</v>
      </c>
      <c r="O368" t="str" cm="1">
        <f t="array" ref="O368">_xlfn.SWITCH(J368,"M","Medium","L","Light","D","Dark")</f>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 = 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f t="shared" si="10"/>
        <v>8.73</v>
      </c>
      <c r="N369" t="str">
        <f t="shared" si="11"/>
        <v>Liberica</v>
      </c>
      <c r="O369" t="str" cm="1">
        <f t="array" ref="O369">_xlfn.SWITCH(J369,"M","Medium","L","Light","D","Dark")</f>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 = 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f t="shared" si="10"/>
        <v>63.249999999999993</v>
      </c>
      <c r="N370" t="str">
        <f t="shared" si="11"/>
        <v>Excelsa</v>
      </c>
      <c r="O370" t="str" cm="1">
        <f t="array" ref="O370">_xlfn.SWITCH(J370,"M","Medium","L","Light","D","Dark")</f>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 = 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f t="shared" si="10"/>
        <v>8.91</v>
      </c>
      <c r="N371" t="str">
        <f t="shared" si="11"/>
        <v>Excelsa</v>
      </c>
      <c r="O371" t="str" cm="1">
        <f t="array" ref="O371">_xlfn.SWITCH(J371,"M","Medium","L","Light","D","Dark")</f>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 = 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f t="shared" si="10"/>
        <v>24.3</v>
      </c>
      <c r="N372" t="str">
        <f t="shared" si="11"/>
        <v>Excelsa</v>
      </c>
      <c r="O372" t="str" cm="1">
        <f t="array" ref="O372">_xlfn.SWITCH(J372,"M","Medium","L","Light","D","Dark")</f>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 = 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f t="shared" si="10"/>
        <v>46.62</v>
      </c>
      <c r="N373" t="str">
        <f t="shared" si="11"/>
        <v>Arabica</v>
      </c>
      <c r="O373" t="str" cm="1">
        <f t="array" ref="O373">_xlfn.SWITCH(J373,"M","Medium","L","Light","D","Dark")</f>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 = 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f t="shared" si="10"/>
        <v>43.019999999999996</v>
      </c>
      <c r="N374" t="str">
        <f t="shared" si="11"/>
        <v>Robusta</v>
      </c>
      <c r="O374" t="str" cm="1">
        <f t="array" ref="O374">_xlfn.SWITCH(J374,"M","Medium","L","Light","D","Dark")</f>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 = 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f t="shared" si="10"/>
        <v>17.91</v>
      </c>
      <c r="N375" t="str">
        <f t="shared" si="11"/>
        <v>Arabica</v>
      </c>
      <c r="O375" t="str" cm="1">
        <f t="array" ref="O375">_xlfn.SWITCH(J375,"M","Medium","L","Light","D","Dark")</f>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 = 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f t="shared" si="10"/>
        <v>38.04</v>
      </c>
      <c r="N376" t="str">
        <f t="shared" si="11"/>
        <v>Liberica</v>
      </c>
      <c r="O376" t="str" cm="1">
        <f t="array" ref="O376">_xlfn.SWITCH(J376,"M","Medium","L","Light","D","Dark")</f>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 = 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f t="shared" si="10"/>
        <v>6.75</v>
      </c>
      <c r="N377" t="str">
        <f t="shared" si="11"/>
        <v>Arabica</v>
      </c>
      <c r="O377" t="str" cm="1">
        <f t="array" ref="O377">_xlfn.SWITCH(J377,"M","Medium","L","Light","D","Dark")</f>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 = 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f t="shared" si="10"/>
        <v>5.97</v>
      </c>
      <c r="N378" t="str">
        <f t="shared" si="11"/>
        <v>Robusta</v>
      </c>
      <c r="O378" t="str" cm="1">
        <f t="array" ref="O378">_xlfn.SWITCH(J378,"M","Medium","L","Light","D","Dark")</f>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 = 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f t="shared" si="10"/>
        <v>8.0549999999999997</v>
      </c>
      <c r="N379" t="str">
        <f t="shared" si="11"/>
        <v>Robusta</v>
      </c>
      <c r="O379" t="str" cm="1">
        <f t="array" ref="O379">_xlfn.SWITCH(J379,"M","Medium","L","Light","D","Dark")</f>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 = 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f t="shared" si="10"/>
        <v>23.31</v>
      </c>
      <c r="N380" t="str">
        <f t="shared" si="11"/>
        <v>Arabica</v>
      </c>
      <c r="O380" t="str" cm="1">
        <f t="array" ref="O380">_xlfn.SWITCH(J380,"M","Medium","L","Light","D","Dark")</f>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 = 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f t="shared" si="10"/>
        <v>43.019999999999996</v>
      </c>
      <c r="N381" t="str">
        <f t="shared" si="11"/>
        <v>Robusta</v>
      </c>
      <c r="O381" t="str" cm="1">
        <f t="array" ref="O381">_xlfn.SWITCH(J381,"M","Medium","L","Light","D","Dark")</f>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 = 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f t="shared" si="10"/>
        <v>23.31</v>
      </c>
      <c r="N382" t="str">
        <f t="shared" si="11"/>
        <v>Liberica</v>
      </c>
      <c r="O382" t="str" cm="1">
        <f t="array" ref="O382">_xlfn.SWITCH(J382,"M","Medium","L","Light","D","Dark")</f>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 = 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f t="shared" si="10"/>
        <v>14.924999999999999</v>
      </c>
      <c r="N383" t="str">
        <f t="shared" si="11"/>
        <v>Arabica</v>
      </c>
      <c r="O383" t="str" cm="1">
        <f t="array" ref="O383">_xlfn.SWITCH(J383,"M","Medium","L","Light","D","Dark")</f>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 = 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f t="shared" si="10"/>
        <v>21.87</v>
      </c>
      <c r="N384" t="str">
        <f t="shared" si="11"/>
        <v>Excelsa</v>
      </c>
      <c r="O384" t="str" cm="1">
        <f t="array" ref="O384">_xlfn.SWITCH(J384,"M","Medium","L","Light","D","Dark")</f>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 = 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f t="shared" si="10"/>
        <v>53.46</v>
      </c>
      <c r="N385" t="str">
        <f t="shared" si="11"/>
        <v>Excelsa</v>
      </c>
      <c r="O385" t="str" cm="1">
        <f t="array" ref="O385">_xlfn.SWITCH(J385,"M","Medium","L","Light","D","Dark")</f>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 = 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f t="shared" si="10"/>
        <v>119.13999999999999</v>
      </c>
      <c r="N386" t="str">
        <f t="shared" si="11"/>
        <v>Arabica</v>
      </c>
      <c r="O386" t="str" cm="1">
        <f t="array" ref="O386">_xlfn.SWITCH(J386,"M","Medium","L","Light","D","Dark")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 = 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f t="shared" ref="M387:M450" si="12">L387*E387</f>
        <v>43.650000000000006</v>
      </c>
      <c r="N387" t="str">
        <f t="shared" ref="N387:N450" si="13">IF(I387="Rob","Robusta",IF(I387="Exc","Excelsa",IF(I387="Ara","Arabica",IF(I387="Lib","Liberica",""))))</f>
        <v>Liberica</v>
      </c>
      <c r="O387" t="str" cm="1">
        <f t="array" ref="O387">_xlfn.SWITCH(J387,"M","Medium","L","Light","D","Dark")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 = 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f t="shared" si="12"/>
        <v>17.91</v>
      </c>
      <c r="N388" t="str">
        <f t="shared" si="13"/>
        <v>Arabica</v>
      </c>
      <c r="O388" t="str" cm="1">
        <f t="array" ref="O388">_xlfn.SWITCH(J388,"M","Medium","L","Light","D","Dark")</f>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 = 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f t="shared" si="12"/>
        <v>74.25</v>
      </c>
      <c r="N389" t="str">
        <f t="shared" si="13"/>
        <v>Excelsa</v>
      </c>
      <c r="O389" t="str" cm="1">
        <f t="array" ref="O389">_xlfn.SWITCH(J389,"M","Medium","L","Light","D","Dark")</f>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 = 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f t="shared" si="12"/>
        <v>11.654999999999999</v>
      </c>
      <c r="N390" t="str">
        <f t="shared" si="13"/>
        <v>Liberica</v>
      </c>
      <c r="O390" t="str" cm="1">
        <f t="array" ref="O390">_xlfn.SWITCH(J390,"M","Medium","L","Light","D","Dark")</f>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 = 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f t="shared" si="12"/>
        <v>23.31</v>
      </c>
      <c r="N391" t="str">
        <f t="shared" si="13"/>
        <v>Liberica</v>
      </c>
      <c r="O391" t="str" cm="1">
        <f t="array" ref="O391">_xlfn.SWITCH(J391,"M","Medium","L","Light","D","Dark")</f>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 = 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f t="shared" si="12"/>
        <v>14.58</v>
      </c>
      <c r="N392" t="str">
        <f t="shared" si="13"/>
        <v>Excelsa</v>
      </c>
      <c r="O392" t="str" cm="1">
        <f t="array" ref="O392">_xlfn.SWITCH(J392,"M","Medium","L","Light","D","Dark")</f>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 = 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f t="shared" si="12"/>
        <v>13.5</v>
      </c>
      <c r="N393" t="str">
        <f t="shared" si="13"/>
        <v>Arabica</v>
      </c>
      <c r="O393" t="str" cm="1">
        <f t="array" ref="O393">_xlfn.SWITCH(J393,"M","Medium","L","Light","D","Dark")</f>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 = 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f t="shared" si="12"/>
        <v>89.1</v>
      </c>
      <c r="N394" t="str">
        <f t="shared" si="13"/>
        <v>Excelsa</v>
      </c>
      <c r="O394" t="str" cm="1">
        <f t="array" ref="O394">_xlfn.SWITCH(J394,"M","Medium","L","Light","D","Dark")</f>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 = 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f t="shared" si="12"/>
        <v>3.8849999999999998</v>
      </c>
      <c r="N395" t="str">
        <f t="shared" si="13"/>
        <v>Arabica</v>
      </c>
      <c r="O395" t="str" cm="1">
        <f t="array" ref="O395">_xlfn.SWITCH(J395,"M","Medium","L","Light","D","Dark")</f>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 = 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f t="shared" si="12"/>
        <v>109.93999999999998</v>
      </c>
      <c r="N396" t="str">
        <f t="shared" si="13"/>
        <v>Robusta</v>
      </c>
      <c r="O396" t="str" cm="1">
        <f t="array" ref="O396">_xlfn.SWITCH(J396,"M","Medium","L","Light","D","Dark")</f>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 = 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f t="shared" si="12"/>
        <v>46.62</v>
      </c>
      <c r="N397" t="str">
        <f t="shared" si="13"/>
        <v>Liberica</v>
      </c>
      <c r="O397" t="str" cm="1">
        <f t="array" ref="O397">_xlfn.SWITCH(J397,"M","Medium","L","Light","D","Dark")</f>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 = 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f t="shared" si="12"/>
        <v>38.849999999999994</v>
      </c>
      <c r="N398" t="str">
        <f t="shared" si="13"/>
        <v>Arabica</v>
      </c>
      <c r="O398" t="str" cm="1">
        <f t="array" ref="O398">_xlfn.SWITCH(J398,"M","Medium","L","Light","D","Dark")</f>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 = 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f t="shared" si="12"/>
        <v>31.08</v>
      </c>
      <c r="N399" t="str">
        <f t="shared" si="13"/>
        <v>Liberica</v>
      </c>
      <c r="O399" t="str" cm="1">
        <f t="array" ref="O399">_xlfn.SWITCH(J399,"M","Medium","L","Light","D","Dark")</f>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 = 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f t="shared" si="12"/>
        <v>17.91</v>
      </c>
      <c r="N400" t="str">
        <f t="shared" si="13"/>
        <v>Arabica</v>
      </c>
      <c r="O400" t="str" cm="1">
        <f t="array" ref="O400">_xlfn.SWITCH(J400,"M","Medium","L","Light","D","Dark")</f>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 = 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f t="shared" si="12"/>
        <v>167.67000000000002</v>
      </c>
      <c r="N401" t="str">
        <f t="shared" si="13"/>
        <v>Excelsa</v>
      </c>
      <c r="O401" t="str" cm="1">
        <f t="array" ref="O401">_xlfn.SWITCH(J401,"M","Medium","L","Light","D","Dark")</f>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 = 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f t="shared" si="12"/>
        <v>63.4</v>
      </c>
      <c r="N402" t="str">
        <f t="shared" si="13"/>
        <v>Liberica</v>
      </c>
      <c r="O402" t="str" cm="1">
        <f t="array" ref="O402">_xlfn.SWITCH(J402,"M","Medium","L","Light","D","Dark")</f>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 = 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f t="shared" si="12"/>
        <v>8.73</v>
      </c>
      <c r="N403" t="str">
        <f t="shared" si="13"/>
        <v>Liberica</v>
      </c>
      <c r="O403" t="str" cm="1">
        <f t="array" ref="O403">_xlfn.SWITCH(J403,"M","Medium","L","Light","D","Dark")</f>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 = 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f t="shared" si="12"/>
        <v>26.849999999999998</v>
      </c>
      <c r="N404" t="str">
        <f t="shared" si="13"/>
        <v>Robusta</v>
      </c>
      <c r="O404" t="str" cm="1">
        <f t="array" ref="O404">_xlfn.SWITCH(J404,"M","Medium","L","Light","D","Dark")</f>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 = 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f t="shared" si="12"/>
        <v>9.51</v>
      </c>
      <c r="N405" t="str">
        <f t="shared" si="13"/>
        <v>Liberica</v>
      </c>
      <c r="O405" t="str" cm="1">
        <f t="array" ref="O405">_xlfn.SWITCH(J405,"M","Medium","L","Light","D","Dark")</f>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 = 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f t="shared" si="12"/>
        <v>39.799999999999997</v>
      </c>
      <c r="N406" t="str">
        <f t="shared" si="13"/>
        <v>Arabica</v>
      </c>
      <c r="O406" t="str" cm="1">
        <f t="array" ref="O406">_xlfn.SWITCH(J406,"M","Medium","L","Light","D","Dark")</f>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 = 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f t="shared" si="12"/>
        <v>24.75</v>
      </c>
      <c r="N407" t="str">
        <f t="shared" si="13"/>
        <v>Excelsa</v>
      </c>
      <c r="O407" t="str" cm="1">
        <f t="array" ref="O407">_xlfn.SWITCH(J407,"M","Medium","L","Light","D","Dark")</f>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 = 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f t="shared" si="12"/>
        <v>68.75</v>
      </c>
      <c r="N408" t="str">
        <f t="shared" si="13"/>
        <v>Excelsa</v>
      </c>
      <c r="O408" t="str" cm="1">
        <f t="array" ref="O408">_xlfn.SWITCH(J408,"M","Medium","L","Light","D","Dark")</f>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 = 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f t="shared" si="12"/>
        <v>49.5</v>
      </c>
      <c r="N409" t="str">
        <f t="shared" si="13"/>
        <v>Excelsa</v>
      </c>
      <c r="O409" t="str" cm="1">
        <f t="array" ref="O409">_xlfn.SWITCH(J409,"M","Medium","L","Light","D","Dark")</f>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 = 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f t="shared" si="12"/>
        <v>51.749999999999993</v>
      </c>
      <c r="N410" t="str">
        <f t="shared" si="13"/>
        <v>Arabica</v>
      </c>
      <c r="O410" t="str" cm="1">
        <f t="array" ref="O410">_xlfn.SWITCH(J410,"M","Medium","L","Light","D","Dark")</f>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 = 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f t="shared" si="12"/>
        <v>47.55</v>
      </c>
      <c r="N411" t="str">
        <f t="shared" si="13"/>
        <v>Liberica</v>
      </c>
      <c r="O411" t="str" cm="1">
        <f t="array" ref="O411">_xlfn.SWITCH(J411,"M","Medium","L","Light","D","Dark")</f>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 = 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f t="shared" si="12"/>
        <v>15.54</v>
      </c>
      <c r="N412" t="str">
        <f t="shared" si="13"/>
        <v>Arabica</v>
      </c>
      <c r="O412" t="str" cm="1">
        <f t="array" ref="O412">_xlfn.SWITCH(J412,"M","Medium","L","Light","D","Dark")</f>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 = 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f t="shared" si="12"/>
        <v>87.300000000000011</v>
      </c>
      <c r="N413" t="str">
        <f t="shared" si="13"/>
        <v>Liberica</v>
      </c>
      <c r="O413" t="str" cm="1">
        <f t="array" ref="O413">_xlfn.SWITCH(J413,"M","Medium","L","Light","D","Dark")</f>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 = 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f t="shared" si="12"/>
        <v>56.25</v>
      </c>
      <c r="N414" t="str">
        <f t="shared" si="13"/>
        <v>Arabica</v>
      </c>
      <c r="O414" t="str" cm="1">
        <f t="array" ref="O414">_xlfn.SWITCH(J414,"M","Medium","L","Light","D","Dark")</f>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 = 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f t="shared" si="12"/>
        <v>36.454999999999998</v>
      </c>
      <c r="N415" t="str">
        <f t="shared" si="13"/>
        <v>Liberica</v>
      </c>
      <c r="O415" t="str" cm="1">
        <f t="array" ref="O415">_xlfn.SWITCH(J415,"M","Medium","L","Light","D","Dark")</f>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 = 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f t="shared" si="12"/>
        <v>10.754999999999999</v>
      </c>
      <c r="N416" t="str">
        <f t="shared" si="13"/>
        <v>Robusta</v>
      </c>
      <c r="O416" t="str" cm="1">
        <f t="array" ref="O416">_xlfn.SWITCH(J416,"M","Medium","L","Light","D","Dark")</f>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 = 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f t="shared" si="12"/>
        <v>8.9550000000000001</v>
      </c>
      <c r="N417" t="str">
        <f t="shared" si="13"/>
        <v>Robusta</v>
      </c>
      <c r="O417" t="str" cm="1">
        <f t="array" ref="O417">_xlfn.SWITCH(J417,"M","Medium","L","Light","D","Dark")</f>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 = 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f t="shared" si="12"/>
        <v>23.31</v>
      </c>
      <c r="N418" t="str">
        <f t="shared" si="13"/>
        <v>Arabica</v>
      </c>
      <c r="O418" t="str" cm="1">
        <f t="array" ref="O418">_xlfn.SWITCH(J418,"M","Medium","L","Light","D","Dark")</f>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 = 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f t="shared" si="12"/>
        <v>29.784999999999997</v>
      </c>
      <c r="N419" t="str">
        <f t="shared" si="13"/>
        <v>Arabica</v>
      </c>
      <c r="O419" t="str" cm="1">
        <f t="array" ref="O419">_xlfn.SWITCH(J419,"M","Medium","L","Light","D","Dark")</f>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 = 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f t="shared" si="12"/>
        <v>148.92499999999998</v>
      </c>
      <c r="N420" t="str">
        <f t="shared" si="13"/>
        <v>Arabica</v>
      </c>
      <c r="O420" t="str" cm="1">
        <f t="array" ref="O420">_xlfn.SWITCH(J420,"M","Medium","L","Light","D","Dark")</f>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 = 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f t="shared" si="12"/>
        <v>8.73</v>
      </c>
      <c r="N421" t="str">
        <f t="shared" si="13"/>
        <v>Liberica</v>
      </c>
      <c r="O421" t="str" cm="1">
        <f t="array" ref="O421">_xlfn.SWITCH(J421,"M","Medium","L","Light","D","Dark")</f>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 = 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f t="shared" si="12"/>
        <v>31.08</v>
      </c>
      <c r="N422" t="str">
        <f t="shared" si="13"/>
        <v>Liberica</v>
      </c>
      <c r="O422" t="str" cm="1">
        <f t="array" ref="O422">_xlfn.SWITCH(J422,"M","Medium","L","Light","D","Dark")</f>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 = 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f t="shared" si="12"/>
        <v>137.31</v>
      </c>
      <c r="N423" t="str">
        <f t="shared" si="13"/>
        <v>Arabica</v>
      </c>
      <c r="O423" t="str" cm="1">
        <f t="array" ref="O423">_xlfn.SWITCH(J423,"M","Medium","L","Light","D","Dark")</f>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 = 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f t="shared" si="12"/>
        <v>29.849999999999998</v>
      </c>
      <c r="N424" t="str">
        <f t="shared" si="13"/>
        <v>Arabica</v>
      </c>
      <c r="O424" t="str" cm="1">
        <f t="array" ref="O424">_xlfn.SWITCH(J424,"M","Medium","L","Light","D","Dark")</f>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 = 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f t="shared" si="12"/>
        <v>17.91</v>
      </c>
      <c r="N425" t="str">
        <f t="shared" si="13"/>
        <v>Robusta</v>
      </c>
      <c r="O425" t="str" cm="1">
        <f t="array" ref="O425">_xlfn.SWITCH(J425,"M","Medium","L","Light","D","Dark")</f>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 = 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f t="shared" si="12"/>
        <v>26.73</v>
      </c>
      <c r="N426" t="str">
        <f t="shared" si="13"/>
        <v>Excelsa</v>
      </c>
      <c r="O426" t="str" cm="1">
        <f t="array" ref="O426">_xlfn.SWITCH(J426,"M","Medium","L","Light","D","Dark")</f>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 = 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f t="shared" si="12"/>
        <v>17.899999999999999</v>
      </c>
      <c r="N427" t="str">
        <f t="shared" si="13"/>
        <v>Robusta</v>
      </c>
      <c r="O427" t="str" cm="1">
        <f t="array" ref="O427">_xlfn.SWITCH(J427,"M","Medium","L","Light","D","Dark")</f>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 = 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f t="shared" si="12"/>
        <v>14.339999999999998</v>
      </c>
      <c r="N428" t="str">
        <f t="shared" si="13"/>
        <v>Robusta</v>
      </c>
      <c r="O428" t="str" cm="1">
        <f t="array" ref="O428">_xlfn.SWITCH(J428,"M","Medium","L","Light","D","Dark")</f>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 = 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f t="shared" si="12"/>
        <v>77.624999999999986</v>
      </c>
      <c r="N429" t="str">
        <f t="shared" si="13"/>
        <v>Arabica</v>
      </c>
      <c r="O429" t="str" cm="1">
        <f t="array" ref="O429">_xlfn.SWITCH(J429,"M","Medium","L","Light","D","Dark")</f>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 = 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f t="shared" si="12"/>
        <v>59.75</v>
      </c>
      <c r="N430" t="str">
        <f t="shared" si="13"/>
        <v>Robusta</v>
      </c>
      <c r="O430" t="str" cm="1">
        <f t="array" ref="O430">_xlfn.SWITCH(J430,"M","Medium","L","Light","D","Dark")</f>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 = 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f t="shared" si="12"/>
        <v>77.699999999999989</v>
      </c>
      <c r="N431" t="str">
        <f t="shared" si="13"/>
        <v>Arabica</v>
      </c>
      <c r="O431" t="str" cm="1">
        <f t="array" ref="O431">_xlfn.SWITCH(J431,"M","Medium","L","Light","D","Dark")</f>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 = 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f t="shared" si="12"/>
        <v>5.3699999999999992</v>
      </c>
      <c r="N432" t="str">
        <f t="shared" si="13"/>
        <v>Robusta</v>
      </c>
      <c r="O432" t="str" cm="1">
        <f t="array" ref="O432">_xlfn.SWITCH(J432,"M","Medium","L","Light","D","Dark")</f>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 = 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f t="shared" si="12"/>
        <v>83.835000000000008</v>
      </c>
      <c r="N433" t="str">
        <f t="shared" si="13"/>
        <v>Excelsa</v>
      </c>
      <c r="O433" t="str" cm="1">
        <f t="array" ref="O433">_xlfn.SWITCH(J433,"M","Medium","L","Light","D","Dark")</f>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 = 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f t="shared" si="12"/>
        <v>22.5</v>
      </c>
      <c r="N434" t="str">
        <f t="shared" si="13"/>
        <v>Arabica</v>
      </c>
      <c r="O434" t="str" cm="1">
        <f t="array" ref="O434">_xlfn.SWITCH(J434,"M","Medium","L","Light","D","Dark")</f>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 = 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f t="shared" si="12"/>
        <v>200.78999999999996</v>
      </c>
      <c r="N435" t="str">
        <f t="shared" si="13"/>
        <v>Liberica</v>
      </c>
      <c r="O435" t="str" cm="1">
        <f t="array" ref="O435">_xlfn.SWITCH(J435,"M","Medium","L","Light","D","Dark")</f>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 = 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f t="shared" si="12"/>
        <v>67.5</v>
      </c>
      <c r="N436" t="str">
        <f t="shared" si="13"/>
        <v>Arabica</v>
      </c>
      <c r="O436" t="str" cm="1">
        <f t="array" ref="O436">_xlfn.SWITCH(J436,"M","Medium","L","Light","D","Dark")</f>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 = 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f t="shared" si="12"/>
        <v>8.25</v>
      </c>
      <c r="N437" t="str">
        <f t="shared" si="13"/>
        <v>Excelsa</v>
      </c>
      <c r="O437" t="str" cm="1">
        <f t="array" ref="O437">_xlfn.SWITCH(J437,"M","Medium","L","Light","D","Dark")</f>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 = 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f t="shared" si="12"/>
        <v>9.51</v>
      </c>
      <c r="N438" t="str">
        <f t="shared" si="13"/>
        <v>Liberica</v>
      </c>
      <c r="O438" t="str" cm="1">
        <f t="array" ref="O438">_xlfn.SWITCH(J438,"M","Medium","L","Light","D","Dark")</f>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 = 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f t="shared" si="12"/>
        <v>29.784999999999997</v>
      </c>
      <c r="N439" t="str">
        <f t="shared" si="13"/>
        <v>Liberica</v>
      </c>
      <c r="O439" t="str" cm="1">
        <f t="array" ref="O439">_xlfn.SWITCH(J439,"M","Medium","L","Light","D","Dark")</f>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 = 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f t="shared" si="12"/>
        <v>15.54</v>
      </c>
      <c r="N440" t="str">
        <f t="shared" si="13"/>
        <v>Liberica</v>
      </c>
      <c r="O440" t="str" cm="1">
        <f t="array" ref="O440">_xlfn.SWITCH(J440,"M","Medium","L","Light","D","Dark")</f>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 = 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f t="shared" si="12"/>
        <v>35.64</v>
      </c>
      <c r="N441" t="str">
        <f t="shared" si="13"/>
        <v>Excelsa</v>
      </c>
      <c r="O441" t="str" cm="1">
        <f t="array" ref="O441">_xlfn.SWITCH(J441,"M","Medium","L","Light","D","Dark")</f>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 = 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f t="shared" si="12"/>
        <v>103.49999999999999</v>
      </c>
      <c r="N442" t="str">
        <f t="shared" si="13"/>
        <v>Arabica</v>
      </c>
      <c r="O442" t="str" cm="1">
        <f t="array" ref="O442">_xlfn.SWITCH(J442,"M","Medium","L","Light","D","Dark")</f>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 = 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f t="shared" si="12"/>
        <v>36.450000000000003</v>
      </c>
      <c r="N443" t="str">
        <f t="shared" si="13"/>
        <v>Excelsa</v>
      </c>
      <c r="O443" t="str" cm="1">
        <f t="array" ref="O443">_xlfn.SWITCH(J443,"M","Medium","L","Light","D","Dark")</f>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 = 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f t="shared" si="12"/>
        <v>35.849999999999994</v>
      </c>
      <c r="N444" t="str">
        <f t="shared" si="13"/>
        <v>Robusta</v>
      </c>
      <c r="O444" t="str" cm="1">
        <f t="array" ref="O444">_xlfn.SWITCH(J444,"M","Medium","L","Light","D","Dark")</f>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 = 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f t="shared" si="12"/>
        <v>22.274999999999999</v>
      </c>
      <c r="N445" t="str">
        <f t="shared" si="13"/>
        <v>Excelsa</v>
      </c>
      <c r="O445" t="str" cm="1">
        <f t="array" ref="O445">_xlfn.SWITCH(J445,"M","Medium","L","Light","D","Dark")</f>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 = 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f t="shared" si="12"/>
        <v>24.75</v>
      </c>
      <c r="N446" t="str">
        <f t="shared" si="13"/>
        <v>Excelsa</v>
      </c>
      <c r="O446" t="str" cm="1">
        <f t="array" ref="O446">_xlfn.SWITCH(J446,"M","Medium","L","Light","D","Dark")</f>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 = 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f t="shared" si="12"/>
        <v>66.929999999999993</v>
      </c>
      <c r="N447" t="str">
        <f t="shared" si="13"/>
        <v>Liberica</v>
      </c>
      <c r="O447" t="str" cm="1">
        <f t="array" ref="O447">_xlfn.SWITCH(J447,"M","Medium","L","Light","D","Dark")</f>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 = 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f t="shared" si="12"/>
        <v>8.73</v>
      </c>
      <c r="N448" t="str">
        <f t="shared" si="13"/>
        <v>Liberica</v>
      </c>
      <c r="O448" t="str" cm="1">
        <f t="array" ref="O448">_xlfn.SWITCH(J448,"M","Medium","L","Light","D","Dark")</f>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 = 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f t="shared" si="12"/>
        <v>17.91</v>
      </c>
      <c r="N449" t="str">
        <f t="shared" si="13"/>
        <v>Robusta</v>
      </c>
      <c r="O449" t="str" cm="1">
        <f t="array" ref="O449">_xlfn.SWITCH(J449,"M","Medium","L","Light","D","Dark")</f>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 = 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f t="shared" si="12"/>
        <v>7.169999999999999</v>
      </c>
      <c r="N450" t="str">
        <f t="shared" si="13"/>
        <v>Robusta</v>
      </c>
      <c r="O450" t="str" cm="1">
        <f t="array" ref="O450">_xlfn.SWITCH(J450,"M","Medium","L","Light","D","Dark")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 = 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f t="shared" ref="M451:M514" si="14">L451*E451</f>
        <v>5.3699999999999992</v>
      </c>
      <c r="N451" t="str">
        <f t="shared" ref="N451:N514" si="15">IF(I451="Rob","Robusta",IF(I451="Exc","Excelsa",IF(I451="Ara","Arabica",IF(I451="Lib","Liberica",""))))</f>
        <v>Robusta</v>
      </c>
      <c r="O451" t="str" cm="1">
        <f t="array" ref="O451">_xlfn.SWITCH(J451,"M","Medium","L","Light","D","Dark")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 = 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f t="shared" si="14"/>
        <v>23.774999999999999</v>
      </c>
      <c r="N452" t="str">
        <f t="shared" si="15"/>
        <v>Liberica</v>
      </c>
      <c r="O452" t="str" cm="1">
        <f t="array" ref="O452">_xlfn.SWITCH(J452,"M","Medium","L","Light","D","Dark")</f>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 = 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f t="shared" si="14"/>
        <v>41.169999999999995</v>
      </c>
      <c r="N453" t="str">
        <f t="shared" si="15"/>
        <v>Robusta</v>
      </c>
      <c r="O453" t="str" cm="1">
        <f t="array" ref="O453">_xlfn.SWITCH(J453,"M","Medium","L","Light","D","Dark")</f>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 = 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f t="shared" si="14"/>
        <v>11.654999999999999</v>
      </c>
      <c r="N454" t="str">
        <f t="shared" si="15"/>
        <v>Arabica</v>
      </c>
      <c r="O454" t="str" cm="1">
        <f t="array" ref="O454">_xlfn.SWITCH(J454,"M","Medium","L","Light","D","Dark")</f>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 = 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f t="shared" si="14"/>
        <v>38.04</v>
      </c>
      <c r="N455" t="str">
        <f t="shared" si="15"/>
        <v>Liberica</v>
      </c>
      <c r="O455" t="str" cm="1">
        <f t="array" ref="O455">_xlfn.SWITCH(J455,"M","Medium","L","Light","D","Dark")</f>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 = 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f t="shared" si="14"/>
        <v>82.339999999999989</v>
      </c>
      <c r="N456" t="str">
        <f t="shared" si="15"/>
        <v>Robusta</v>
      </c>
      <c r="O456" t="str" cm="1">
        <f t="array" ref="O456">_xlfn.SWITCH(J456,"M","Medium","L","Light","D","Dark")</f>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 = 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f t="shared" si="14"/>
        <v>9.51</v>
      </c>
      <c r="N457" t="str">
        <f t="shared" si="15"/>
        <v>Liberica</v>
      </c>
      <c r="O457" t="str" cm="1">
        <f t="array" ref="O457">_xlfn.SWITCH(J457,"M","Medium","L","Light","D","Dark")</f>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 = 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f t="shared" si="14"/>
        <v>41.169999999999995</v>
      </c>
      <c r="N458" t="str">
        <f t="shared" si="15"/>
        <v>Robusta</v>
      </c>
      <c r="O458" t="str" cm="1">
        <f t="array" ref="O458">_xlfn.SWITCH(J458,"M","Medium","L","Light","D","Dark")</f>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 = 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f t="shared" si="14"/>
        <v>47.55</v>
      </c>
      <c r="N459" t="str">
        <f t="shared" si="15"/>
        <v>Liberica</v>
      </c>
      <c r="O459" t="str" cm="1">
        <f t="array" ref="O459">_xlfn.SWITCH(J459,"M","Medium","L","Light","D","Dark")</f>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 = 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f t="shared" si="14"/>
        <v>45</v>
      </c>
      <c r="N460" t="str">
        <f t="shared" si="15"/>
        <v>Arabica</v>
      </c>
      <c r="O460" t="str" cm="1">
        <f t="array" ref="O460">_xlfn.SWITCH(J460,"M","Medium","L","Light","D","Dark")</f>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 = 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f t="shared" si="14"/>
        <v>23.774999999999999</v>
      </c>
      <c r="N461" t="str">
        <f t="shared" si="15"/>
        <v>Liberica</v>
      </c>
      <c r="O461" t="str" cm="1">
        <f t="array" ref="O461">_xlfn.SWITCH(J461,"M","Medium","L","Light","D","Dark")</f>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 = 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f t="shared" si="14"/>
        <v>16.11</v>
      </c>
      <c r="N462" t="str">
        <f t="shared" si="15"/>
        <v>Robusta</v>
      </c>
      <c r="O462" t="str" cm="1">
        <f t="array" ref="O462">_xlfn.SWITCH(J462,"M","Medium","L","Light","D","Dark")</f>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 = 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f t="shared" si="14"/>
        <v>10.739999999999998</v>
      </c>
      <c r="N463" t="str">
        <f t="shared" si="15"/>
        <v>Robusta</v>
      </c>
      <c r="O463" t="str" cm="1">
        <f t="array" ref="O463">_xlfn.SWITCH(J463,"M","Medium","L","Light","D","Dark")</f>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 = 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f t="shared" si="14"/>
        <v>49.75</v>
      </c>
      <c r="N464" t="str">
        <f t="shared" si="15"/>
        <v>Arabica</v>
      </c>
      <c r="O464" t="str" cm="1">
        <f t="array" ref="O464">_xlfn.SWITCH(J464,"M","Medium","L","Light","D","Dark")</f>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 = 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f t="shared" si="14"/>
        <v>27.5</v>
      </c>
      <c r="N465" t="str">
        <f t="shared" si="15"/>
        <v>Excelsa</v>
      </c>
      <c r="O465" t="str" cm="1">
        <f t="array" ref="O465">_xlfn.SWITCH(J465,"M","Medium","L","Light","D","Dark")</f>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 = 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f t="shared" si="14"/>
        <v>119.13999999999999</v>
      </c>
      <c r="N466" t="str">
        <f t="shared" si="15"/>
        <v>Liberica</v>
      </c>
      <c r="O466" t="str" cm="1">
        <f t="array" ref="O466">_xlfn.SWITCH(J466,"M","Medium","L","Light","D","Dark")</f>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 = 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f t="shared" si="14"/>
        <v>20.584999999999997</v>
      </c>
      <c r="N467" t="str">
        <f t="shared" si="15"/>
        <v>Robusta</v>
      </c>
      <c r="O467" t="str" cm="1">
        <f t="array" ref="O467">_xlfn.SWITCH(J467,"M","Medium","L","Light","D","Dark")</f>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 = 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f t="shared" si="14"/>
        <v>8.9550000000000001</v>
      </c>
      <c r="N468" t="str">
        <f t="shared" si="15"/>
        <v>Arabica</v>
      </c>
      <c r="O468" t="str" cm="1">
        <f t="array" ref="O468">_xlfn.SWITCH(J468,"M","Medium","L","Light","D","Dark")</f>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 = 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f t="shared" si="14"/>
        <v>5.97</v>
      </c>
      <c r="N469" t="str">
        <f t="shared" si="15"/>
        <v>Arabica</v>
      </c>
      <c r="O469" t="str" cm="1">
        <f t="array" ref="O469">_xlfn.SWITCH(J469,"M","Medium","L","Light","D","Dark")</f>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 = 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f t="shared" si="14"/>
        <v>41.25</v>
      </c>
      <c r="N470" t="str">
        <f t="shared" si="15"/>
        <v>Excelsa</v>
      </c>
      <c r="O470" t="str" cm="1">
        <f t="array" ref="O470">_xlfn.SWITCH(J470,"M","Medium","L","Light","D","Dark")</f>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 = 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f t="shared" si="14"/>
        <v>22.274999999999999</v>
      </c>
      <c r="N471" t="str">
        <f t="shared" si="15"/>
        <v>Excelsa</v>
      </c>
      <c r="O471" t="str" cm="1">
        <f t="array" ref="O471">_xlfn.SWITCH(J471,"M","Medium","L","Light","D","Dark")</f>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 = 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f t="shared" si="14"/>
        <v>6.75</v>
      </c>
      <c r="N472" t="str">
        <f t="shared" si="15"/>
        <v>Arabica</v>
      </c>
      <c r="O472" t="str" cm="1">
        <f t="array" ref="O472">_xlfn.SWITCH(J472,"M","Medium","L","Light","D","Dark")</f>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 = 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f t="shared" si="14"/>
        <v>133.85999999999999</v>
      </c>
      <c r="N473" t="str">
        <f t="shared" si="15"/>
        <v>Liberica</v>
      </c>
      <c r="O473" t="str" cm="1">
        <f t="array" ref="O473">_xlfn.SWITCH(J473,"M","Medium","L","Light","D","Dark")</f>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 = 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f t="shared" si="14"/>
        <v>5.97</v>
      </c>
      <c r="N474" t="str">
        <f t="shared" si="15"/>
        <v>Arabica</v>
      </c>
      <c r="O474" t="str" cm="1">
        <f t="array" ref="O474">_xlfn.SWITCH(J474,"M","Medium","L","Light","D","Dark")</f>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 = 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f t="shared" si="14"/>
        <v>25.9</v>
      </c>
      <c r="N475" t="str">
        <f t="shared" si="15"/>
        <v>Arabica</v>
      </c>
      <c r="O475" t="str" cm="1">
        <f t="array" ref="O475">_xlfn.SWITCH(J475,"M","Medium","L","Light","D","Dark")</f>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 = 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f t="shared" si="14"/>
        <v>31.624999999999996</v>
      </c>
      <c r="N476" t="str">
        <f t="shared" si="15"/>
        <v>Excelsa</v>
      </c>
      <c r="O476" t="str" cm="1">
        <f t="array" ref="O476">_xlfn.SWITCH(J476,"M","Medium","L","Light","D","Dark")</f>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 = 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f t="shared" si="14"/>
        <v>8.73</v>
      </c>
      <c r="N477" t="str">
        <f t="shared" si="15"/>
        <v>Liberica</v>
      </c>
      <c r="O477" t="str" cm="1">
        <f t="array" ref="O477">_xlfn.SWITCH(J477,"M","Medium","L","Light","D","Dark")</f>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 = 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f t="shared" si="14"/>
        <v>26.73</v>
      </c>
      <c r="N478" t="str">
        <f t="shared" si="15"/>
        <v>Excelsa</v>
      </c>
      <c r="O478" t="str" cm="1">
        <f t="array" ref="O478">_xlfn.SWITCH(J478,"M","Medium","L","Light","D","Dark")</f>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 = 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f t="shared" si="14"/>
        <v>26.19</v>
      </c>
      <c r="N479" t="str">
        <f t="shared" si="15"/>
        <v>Liberica</v>
      </c>
      <c r="O479" t="str" cm="1">
        <f t="array" ref="O479">_xlfn.SWITCH(J479,"M","Medium","L","Light","D","Dark")</f>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 = 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f t="shared" si="14"/>
        <v>53.699999999999996</v>
      </c>
      <c r="N480" t="str">
        <f t="shared" si="15"/>
        <v>Robusta</v>
      </c>
      <c r="O480" t="str" cm="1">
        <f t="array" ref="O480">_xlfn.SWITCH(J480,"M","Medium","L","Light","D","Dark")</f>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 = 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f t="shared" si="14"/>
        <v>126.49999999999999</v>
      </c>
      <c r="N481" t="str">
        <f t="shared" si="15"/>
        <v>Excelsa</v>
      </c>
      <c r="O481" t="str" cm="1">
        <f t="array" ref="O481">_xlfn.SWITCH(J481,"M","Medium","L","Light","D","Dark")</f>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 = 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f t="shared" si="14"/>
        <v>4.125</v>
      </c>
      <c r="N482" t="str">
        <f t="shared" si="15"/>
        <v>Excelsa</v>
      </c>
      <c r="O482" t="str" cm="1">
        <f t="array" ref="O482">_xlfn.SWITCH(J482,"M","Medium","L","Light","D","Dark")</f>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 = 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f t="shared" si="14"/>
        <v>23.9</v>
      </c>
      <c r="N483" t="str">
        <f t="shared" si="15"/>
        <v>Robusta</v>
      </c>
      <c r="O483" t="str" cm="1">
        <f t="array" ref="O483">_xlfn.SWITCH(J483,"M","Medium","L","Light","D","Dark")</f>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 = 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f t="shared" si="14"/>
        <v>139.72499999999999</v>
      </c>
      <c r="N484" t="str">
        <f t="shared" si="15"/>
        <v>Excelsa</v>
      </c>
      <c r="O484" t="str" cm="1">
        <f t="array" ref="O484">_xlfn.SWITCH(J484,"M","Medium","L","Light","D","Dark")</f>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 = 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f t="shared" si="14"/>
        <v>59.569999999999993</v>
      </c>
      <c r="N485" t="str">
        <f t="shared" si="15"/>
        <v>Liberica</v>
      </c>
      <c r="O485" t="str" cm="1">
        <f t="array" ref="O485">_xlfn.SWITCH(J485,"M","Medium","L","Light","D","Dark")</f>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 = 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f t="shared" si="14"/>
        <v>57.06</v>
      </c>
      <c r="N486" t="str">
        <f t="shared" si="15"/>
        <v>Liberica</v>
      </c>
      <c r="O486" t="str" cm="1">
        <f t="array" ref="O486">_xlfn.SWITCH(J486,"M","Medium","L","Light","D","Dark")</f>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 = 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f t="shared" si="14"/>
        <v>21.509999999999998</v>
      </c>
      <c r="N487" t="str">
        <f t="shared" si="15"/>
        <v>Robusta</v>
      </c>
      <c r="O487" t="str" cm="1">
        <f t="array" ref="O487">_xlfn.SWITCH(J487,"M","Medium","L","Light","D","Dark")</f>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 = 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f t="shared" si="14"/>
        <v>52.38</v>
      </c>
      <c r="N488" t="str">
        <f t="shared" si="15"/>
        <v>Liberica</v>
      </c>
      <c r="O488" t="str" cm="1">
        <f t="array" ref="O488">_xlfn.SWITCH(J488,"M","Medium","L","Light","D","Dark")</f>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 = 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f t="shared" si="14"/>
        <v>72.900000000000006</v>
      </c>
      <c r="N489" t="str">
        <f t="shared" si="15"/>
        <v>Excelsa</v>
      </c>
      <c r="O489" t="str" cm="1">
        <f t="array" ref="O489">_xlfn.SWITCH(J489,"M","Medium","L","Light","D","Dark")</f>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 = 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f t="shared" si="14"/>
        <v>14.924999999999999</v>
      </c>
      <c r="N490" t="str">
        <f t="shared" si="15"/>
        <v>Robusta</v>
      </c>
      <c r="O490" t="str" cm="1">
        <f t="array" ref="O490">_xlfn.SWITCH(J490,"M","Medium","L","Light","D","Dark")</f>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 = 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f t="shared" si="14"/>
        <v>95.1</v>
      </c>
      <c r="N491" t="str">
        <f t="shared" si="15"/>
        <v>Liberica</v>
      </c>
      <c r="O491" t="str" cm="1">
        <f t="array" ref="O491">_xlfn.SWITCH(J491,"M","Medium","L","Light","D","Dark")</f>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 = 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f t="shared" si="14"/>
        <v>15.54</v>
      </c>
      <c r="N492" t="str">
        <f t="shared" si="15"/>
        <v>Liberica</v>
      </c>
      <c r="O492" t="str" cm="1">
        <f t="array" ref="O492">_xlfn.SWITCH(J492,"M","Medium","L","Light","D","Dark")</f>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 = 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f t="shared" si="14"/>
        <v>23.31</v>
      </c>
      <c r="N493" t="str">
        <f t="shared" si="15"/>
        <v>Liberica</v>
      </c>
      <c r="O493" t="str" cm="1">
        <f t="array" ref="O493">_xlfn.SWITCH(J493,"M","Medium","L","Light","D","Dark")</f>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 = 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f t="shared" si="14"/>
        <v>4.125</v>
      </c>
      <c r="N494" t="str">
        <f t="shared" si="15"/>
        <v>Excelsa</v>
      </c>
      <c r="O494" t="str" cm="1">
        <f t="array" ref="O494">_xlfn.SWITCH(J494,"M","Medium","L","Light","D","Dark")</f>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 = 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f t="shared" si="14"/>
        <v>35.82</v>
      </c>
      <c r="N495" t="str">
        <f t="shared" si="15"/>
        <v>Robusta</v>
      </c>
      <c r="O495" t="str" cm="1">
        <f t="array" ref="O495">_xlfn.SWITCH(J495,"M","Medium","L","Light","D","Dark")</f>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 = 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f t="shared" si="14"/>
        <v>31.7</v>
      </c>
      <c r="N496" t="str">
        <f t="shared" si="15"/>
        <v>Liberica</v>
      </c>
      <c r="O496" t="str" cm="1">
        <f t="array" ref="O496">_xlfn.SWITCH(J496,"M","Medium","L","Light","D","Dark")</f>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 = 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f t="shared" si="14"/>
        <v>79.25</v>
      </c>
      <c r="N497" t="str">
        <f t="shared" si="15"/>
        <v>Liberica</v>
      </c>
      <c r="O497" t="str" cm="1">
        <f t="array" ref="O497">_xlfn.SWITCH(J497,"M","Medium","L","Light","D","Dark")</f>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 = 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f t="shared" si="14"/>
        <v>10.935</v>
      </c>
      <c r="N498" t="str">
        <f t="shared" si="15"/>
        <v>Excelsa</v>
      </c>
      <c r="O498" t="str" cm="1">
        <f t="array" ref="O498">_xlfn.SWITCH(J498,"M","Medium","L","Light","D","Dark")</f>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 = 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f t="shared" si="14"/>
        <v>39.799999999999997</v>
      </c>
      <c r="N499" t="str">
        <f t="shared" si="15"/>
        <v>Arabica</v>
      </c>
      <c r="O499" t="str" cm="1">
        <f t="array" ref="O499">_xlfn.SWITCH(J499,"M","Medium","L","Light","D","Dark")</f>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 = 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f t="shared" si="14"/>
        <v>49.75</v>
      </c>
      <c r="N500" t="str">
        <f t="shared" si="15"/>
        <v>Robusta</v>
      </c>
      <c r="O500" t="str" cm="1">
        <f t="array" ref="O500">_xlfn.SWITCH(J500,"M","Medium","L","Light","D","Dark")</f>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 = 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f t="shared" si="14"/>
        <v>8.0549999999999997</v>
      </c>
      <c r="N501" t="str">
        <f t="shared" si="15"/>
        <v>Robusta</v>
      </c>
      <c r="O501" t="str" cm="1">
        <f t="array" ref="O501">_xlfn.SWITCH(J501,"M","Medium","L","Light","D","Dark")</f>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 = 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f t="shared" si="14"/>
        <v>47.8</v>
      </c>
      <c r="N502" t="str">
        <f t="shared" si="15"/>
        <v>Robusta</v>
      </c>
      <c r="O502" t="str" cm="1">
        <f t="array" ref="O502">_xlfn.SWITCH(J502,"M","Medium","L","Light","D","Dark")</f>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 = 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f t="shared" si="14"/>
        <v>11.94</v>
      </c>
      <c r="N503" t="str">
        <f t="shared" si="15"/>
        <v>Robusta</v>
      </c>
      <c r="O503" t="str" cm="1">
        <f t="array" ref="O503">_xlfn.SWITCH(J503,"M","Medium","L","Light","D","Dark")</f>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 = 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f t="shared" si="14"/>
        <v>16.5</v>
      </c>
      <c r="N504" t="str">
        <f t="shared" si="15"/>
        <v>Excelsa</v>
      </c>
      <c r="O504" t="str" cm="1">
        <f t="array" ref="O504">_xlfn.SWITCH(J504,"M","Medium","L","Light","D","Dark")</f>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 = 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f t="shared" si="14"/>
        <v>51.8</v>
      </c>
      <c r="N505" t="str">
        <f t="shared" si="15"/>
        <v>Liberica</v>
      </c>
      <c r="O505" t="str" cm="1">
        <f t="array" ref="O505">_xlfn.SWITCH(J505,"M","Medium","L","Light","D","Dark")</f>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 = 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f t="shared" si="14"/>
        <v>14.265000000000001</v>
      </c>
      <c r="N506" t="str">
        <f t="shared" si="15"/>
        <v>Liberica</v>
      </c>
      <c r="O506" t="str" cm="1">
        <f t="array" ref="O506">_xlfn.SWITCH(J506,"M","Medium","L","Light","D","Dark")</f>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 = 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f t="shared" si="14"/>
        <v>26.19</v>
      </c>
      <c r="N507" t="str">
        <f t="shared" si="15"/>
        <v>Liberica</v>
      </c>
      <c r="O507" t="str" cm="1">
        <f t="array" ref="O507">_xlfn.SWITCH(J507,"M","Medium","L","Light","D","Dark")</f>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 = 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f t="shared" si="14"/>
        <v>25.9</v>
      </c>
      <c r="N508" t="str">
        <f t="shared" si="15"/>
        <v>Arabica</v>
      </c>
      <c r="O508" t="str" cm="1">
        <f t="array" ref="O508">_xlfn.SWITCH(J508,"M","Medium","L","Light","D","Dark")</f>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 = 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f t="shared" si="14"/>
        <v>89.35499999999999</v>
      </c>
      <c r="N509" t="str">
        <f t="shared" si="15"/>
        <v>Arabica</v>
      </c>
      <c r="O509" t="str" cm="1">
        <f t="array" ref="O509">_xlfn.SWITCH(J509,"M","Medium","L","Light","D","Dark")</f>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 = 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f t="shared" si="14"/>
        <v>46.62</v>
      </c>
      <c r="N510" t="str">
        <f t="shared" si="15"/>
        <v>Liberica</v>
      </c>
      <c r="O510" t="str" cm="1">
        <f t="array" ref="O510">_xlfn.SWITCH(J510,"M","Medium","L","Light","D","Dark")</f>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 = 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f t="shared" si="14"/>
        <v>29.849999999999998</v>
      </c>
      <c r="N511" t="str">
        <f t="shared" si="15"/>
        <v>Arabica</v>
      </c>
      <c r="O511" t="str" cm="1">
        <f t="array" ref="O511">_xlfn.SWITCH(J511,"M","Medium","L","Light","D","Dark")</f>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 = 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f t="shared" si="14"/>
        <v>10.754999999999999</v>
      </c>
      <c r="N512" t="str">
        <f t="shared" si="15"/>
        <v>Robusta</v>
      </c>
      <c r="O512" t="str" cm="1">
        <f t="array" ref="O512">_xlfn.SWITCH(J512,"M","Medium","L","Light","D","Dark")</f>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 = 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f t="shared" si="14"/>
        <v>13.5</v>
      </c>
      <c r="N513" t="str">
        <f t="shared" si="15"/>
        <v>Arabica</v>
      </c>
      <c r="O513" t="str" cm="1">
        <f t="array" ref="O513">_xlfn.SWITCH(J513,"M","Medium","L","Light","D","Dark")</f>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 = 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f t="shared" si="14"/>
        <v>47.55</v>
      </c>
      <c r="N514" t="str">
        <f t="shared" si="15"/>
        <v>Liberica</v>
      </c>
      <c r="O514" t="str" cm="1">
        <f t="array" ref="O514">_xlfn.SWITCH(J514,"M","Medium","L","Light","D","Dark")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 = 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f t="shared" ref="M515:M578" si="16">L515*E515</f>
        <v>79.25</v>
      </c>
      <c r="N515" t="str">
        <f t="shared" ref="N515:N578" si="17">IF(I515="Rob","Robusta",IF(I515="Exc","Excelsa",IF(I515="Ara","Arabica",IF(I515="Lib","Liberica",""))))</f>
        <v>Liberica</v>
      </c>
      <c r="O515" t="str" cm="1">
        <f t="array" ref="O515">_xlfn.SWITCH(J515,"M","Medium","L","Light","D","Dark")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 = 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f t="shared" si="16"/>
        <v>26.19</v>
      </c>
      <c r="N516" t="str">
        <f t="shared" si="17"/>
        <v>Liberica</v>
      </c>
      <c r="O516" t="str" cm="1">
        <f t="array" ref="O516">_xlfn.SWITCH(J516,"M","Medium","L","Light","D","Dark")</f>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 = 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f t="shared" si="16"/>
        <v>21.509999999999998</v>
      </c>
      <c r="N517" t="str">
        <f t="shared" si="17"/>
        <v>Robusta</v>
      </c>
      <c r="O517" t="str" cm="1">
        <f t="array" ref="O517">_xlfn.SWITCH(J517,"M","Medium","L","Light","D","Dark")</f>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 = 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f t="shared" si="16"/>
        <v>102.92499999999998</v>
      </c>
      <c r="N518" t="str">
        <f t="shared" si="17"/>
        <v>Robusta</v>
      </c>
      <c r="O518" t="str" cm="1">
        <f t="array" ref="O518">_xlfn.SWITCH(J518,"M","Medium","L","Light","D","Dark")</f>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 = 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f t="shared" si="16"/>
        <v>7.77</v>
      </c>
      <c r="N519" t="str">
        <f t="shared" si="17"/>
        <v>Liberica</v>
      </c>
      <c r="O519" t="str" cm="1">
        <f t="array" ref="O519">_xlfn.SWITCH(J519,"M","Medium","L","Light","D","Dark")</f>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 = 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f t="shared" si="16"/>
        <v>139.72499999999999</v>
      </c>
      <c r="N520" t="str">
        <f t="shared" si="17"/>
        <v>Excelsa</v>
      </c>
      <c r="O520" t="str" cm="1">
        <f t="array" ref="O520">_xlfn.SWITCH(J520,"M","Medium","L","Light","D","Dark")</f>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 = 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f t="shared" si="16"/>
        <v>11.94</v>
      </c>
      <c r="N521" t="str">
        <f t="shared" si="17"/>
        <v>Arabica</v>
      </c>
      <c r="O521" t="str" cm="1">
        <f t="array" ref="O521">_xlfn.SWITCH(J521,"M","Medium","L","Light","D","Dark")</f>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 = 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f t="shared" si="16"/>
        <v>3.8849999999999998</v>
      </c>
      <c r="N522" t="str">
        <f t="shared" si="17"/>
        <v>Liberica</v>
      </c>
      <c r="O522" t="str" cm="1">
        <f t="array" ref="O522">_xlfn.SWITCH(J522,"M","Medium","L","Light","D","Dark")</f>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 = 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f t="shared" si="16"/>
        <v>39.799999999999997</v>
      </c>
      <c r="N523" t="str">
        <f t="shared" si="17"/>
        <v>Robusta</v>
      </c>
      <c r="O523" t="str" cm="1">
        <f t="array" ref="O523">_xlfn.SWITCH(J523,"M","Medium","L","Light","D","Dark")</f>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 = 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f t="shared" si="16"/>
        <v>29.849999999999998</v>
      </c>
      <c r="N524" t="str">
        <f t="shared" si="17"/>
        <v>Robusta</v>
      </c>
      <c r="O524" t="str" cm="1">
        <f t="array" ref="O524">_xlfn.SWITCH(J524,"M","Medium","L","Light","D","Dark")</f>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 = 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f t="shared" si="16"/>
        <v>29.784999999999997</v>
      </c>
      <c r="N525" t="str">
        <f t="shared" si="17"/>
        <v>Liberica</v>
      </c>
      <c r="O525" t="str" cm="1">
        <f t="array" ref="O525">_xlfn.SWITCH(J525,"M","Medium","L","Light","D","Dark")</f>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 = 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f t="shared" si="16"/>
        <v>72.91</v>
      </c>
      <c r="N526" t="str">
        <f t="shared" si="17"/>
        <v>Liberica</v>
      </c>
      <c r="O526" t="str" cm="1">
        <f t="array" ref="O526">_xlfn.SWITCH(J526,"M","Medium","L","Light","D","Dark")</f>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 = 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f t="shared" si="16"/>
        <v>13.424999999999997</v>
      </c>
      <c r="N527" t="str">
        <f t="shared" si="17"/>
        <v>Robusta</v>
      </c>
      <c r="O527" t="str" cm="1">
        <f t="array" ref="O527">_xlfn.SWITCH(J527,"M","Medium","L","Light","D","Dark")</f>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 = 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f t="shared" si="16"/>
        <v>126.49999999999999</v>
      </c>
      <c r="N528" t="str">
        <f t="shared" si="17"/>
        <v>Excelsa</v>
      </c>
      <c r="O528" t="str" cm="1">
        <f t="array" ref="O528">_xlfn.SWITCH(J528,"M","Medium","L","Light","D","Dark")</f>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 = 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f t="shared" si="16"/>
        <v>41.25</v>
      </c>
      <c r="N529" t="str">
        <f t="shared" si="17"/>
        <v>Excelsa</v>
      </c>
      <c r="O529" t="str" cm="1">
        <f t="array" ref="O529">_xlfn.SWITCH(J529,"M","Medium","L","Light","D","Dark")</f>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 = 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f t="shared" si="16"/>
        <v>53.46</v>
      </c>
      <c r="N530" t="str">
        <f t="shared" si="17"/>
        <v>Excelsa</v>
      </c>
      <c r="O530" t="str" cm="1">
        <f t="array" ref="O530">_xlfn.SWITCH(J530,"M","Medium","L","Light","D","Dark")</f>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 = 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f t="shared" si="16"/>
        <v>59.699999999999996</v>
      </c>
      <c r="N531" t="str">
        <f t="shared" si="17"/>
        <v>Robusta</v>
      </c>
      <c r="O531" t="str" cm="1">
        <f t="array" ref="O531">_xlfn.SWITCH(J531,"M","Medium","L","Light","D","Dark")</f>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 = 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f t="shared" si="16"/>
        <v>59.699999999999996</v>
      </c>
      <c r="N532" t="str">
        <f t="shared" si="17"/>
        <v>Robusta</v>
      </c>
      <c r="O532" t="str" cm="1">
        <f t="array" ref="O532">_xlfn.SWITCH(J532,"M","Medium","L","Light","D","Dark")</f>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 = 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f t="shared" si="16"/>
        <v>44.75</v>
      </c>
      <c r="N533" t="str">
        <f t="shared" si="17"/>
        <v>Robusta</v>
      </c>
      <c r="O533" t="str" cm="1">
        <f t="array" ref="O533">_xlfn.SWITCH(J533,"M","Medium","L","Light","D","Dark")</f>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 = 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f t="shared" si="16"/>
        <v>16.5</v>
      </c>
      <c r="N534" t="str">
        <f t="shared" si="17"/>
        <v>Excelsa</v>
      </c>
      <c r="O534" t="str" cm="1">
        <f t="array" ref="O534">_xlfn.SWITCH(J534,"M","Medium","L","Light","D","Dark")</f>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 = 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f t="shared" si="16"/>
        <v>21.479999999999997</v>
      </c>
      <c r="N535" t="str">
        <f t="shared" si="17"/>
        <v>Robusta</v>
      </c>
      <c r="O535" t="str" cm="1">
        <f t="array" ref="O535">_xlfn.SWITCH(J535,"M","Medium","L","Light","D","Dark")</f>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 = 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f t="shared" si="16"/>
        <v>45.769999999999996</v>
      </c>
      <c r="N536" t="str">
        <f t="shared" si="17"/>
        <v>Robusta</v>
      </c>
      <c r="O536" t="str" cm="1">
        <f t="array" ref="O536">_xlfn.SWITCH(J536,"M","Medium","L","Light","D","Dark")</f>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 = 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f t="shared" si="16"/>
        <v>9.51</v>
      </c>
      <c r="N537" t="str">
        <f t="shared" si="17"/>
        <v>Liberica</v>
      </c>
      <c r="O537" t="str" cm="1">
        <f t="array" ref="O537">_xlfn.SWITCH(J537,"M","Medium","L","Light","D","Dark")</f>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 = 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f t="shared" si="16"/>
        <v>8.0549999999999997</v>
      </c>
      <c r="N538" t="str">
        <f t="shared" si="17"/>
        <v>Robusta</v>
      </c>
      <c r="O538" t="str" cm="1">
        <f t="array" ref="O538">_xlfn.SWITCH(J538,"M","Medium","L","Light","D","Dark")</f>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 = 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f t="shared" si="16"/>
        <v>111.78</v>
      </c>
      <c r="N539" t="str">
        <f t="shared" si="17"/>
        <v>Excelsa</v>
      </c>
      <c r="O539" t="str" cm="1">
        <f t="array" ref="O539">_xlfn.SWITCH(J539,"M","Medium","L","Light","D","Dark")</f>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 = 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f t="shared" si="16"/>
        <v>10.739999999999998</v>
      </c>
      <c r="N540" t="str">
        <f t="shared" si="17"/>
        <v>Robusta</v>
      </c>
      <c r="O540" t="str" cm="1">
        <f t="array" ref="O540">_xlfn.SWITCH(J540,"M","Medium","L","Light","D","Dark")</f>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 = 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f t="shared" si="16"/>
        <v>26.849999999999994</v>
      </c>
      <c r="N541" t="str">
        <f t="shared" si="17"/>
        <v>Robusta</v>
      </c>
      <c r="O541" t="str" cm="1">
        <f t="array" ref="O541">_xlfn.SWITCH(J541,"M","Medium","L","Light","D","Dark")</f>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 = 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f t="shared" si="16"/>
        <v>63.4</v>
      </c>
      <c r="N542" t="str">
        <f t="shared" si="17"/>
        <v>Liberica</v>
      </c>
      <c r="O542" t="str" cm="1">
        <f t="array" ref="O542">_xlfn.SWITCH(J542,"M","Medium","L","Light","D","Dark")</f>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 = 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f t="shared" si="16"/>
        <v>22.884999999999998</v>
      </c>
      <c r="N543" t="str">
        <f t="shared" si="17"/>
        <v>Arabica</v>
      </c>
      <c r="O543" t="str" cm="1">
        <f t="array" ref="O543">_xlfn.SWITCH(J543,"M","Medium","L","Light","D","Dark")</f>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 = 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f t="shared" si="16"/>
        <v>103.49999999999999</v>
      </c>
      <c r="N544" t="str">
        <f t="shared" si="17"/>
        <v>Arabica</v>
      </c>
      <c r="O544" t="str" cm="1">
        <f t="array" ref="O544">_xlfn.SWITCH(J544,"M","Medium","L","Light","D","Dark")</f>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 = 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f t="shared" si="16"/>
        <v>54.969999999999992</v>
      </c>
      <c r="N545" t="str">
        <f t="shared" si="17"/>
        <v>Robusta</v>
      </c>
      <c r="O545" t="str" cm="1">
        <f t="array" ref="O545">_xlfn.SWITCH(J545,"M","Medium","L","Light","D","Dark")</f>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 = 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f t="shared" si="16"/>
        <v>15.54</v>
      </c>
      <c r="N546" t="str">
        <f t="shared" si="17"/>
        <v>Arabica</v>
      </c>
      <c r="O546" t="str" cm="1">
        <f t="array" ref="O546">_xlfn.SWITCH(J546,"M","Medium","L","Light","D","Dark")</f>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 = 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f t="shared" si="16"/>
        <v>15.54</v>
      </c>
      <c r="N547" t="str">
        <f t="shared" si="17"/>
        <v>Liberica</v>
      </c>
      <c r="O547" t="str" cm="1">
        <f t="array" ref="O547">_xlfn.SWITCH(J547,"M","Medium","L","Light","D","Dark")</f>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 = 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f t="shared" si="16"/>
        <v>83.835000000000008</v>
      </c>
      <c r="N548" t="str">
        <f t="shared" si="17"/>
        <v>Excelsa</v>
      </c>
      <c r="O548" t="str" cm="1">
        <f t="array" ref="O548">_xlfn.SWITCH(J548,"M","Medium","L","Light","D","Dark")</f>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 = 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f t="shared" si="16"/>
        <v>10.754999999999999</v>
      </c>
      <c r="N549" t="str">
        <f t="shared" si="17"/>
        <v>Robusta</v>
      </c>
      <c r="O549" t="str" cm="1">
        <f t="array" ref="O549">_xlfn.SWITCH(J549,"M","Medium","L","Light","D","Dark")</f>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 = 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f t="shared" si="16"/>
        <v>13.365</v>
      </c>
      <c r="N550" t="str">
        <f t="shared" si="17"/>
        <v>Excelsa</v>
      </c>
      <c r="O550" t="str" cm="1">
        <f t="array" ref="O550">_xlfn.SWITCH(J550,"M","Medium","L","Light","D","Dark")</f>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 = 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f t="shared" si="16"/>
        <v>17.82</v>
      </c>
      <c r="N551" t="str">
        <f t="shared" si="17"/>
        <v>Excelsa</v>
      </c>
      <c r="O551" t="str" cm="1">
        <f t="array" ref="O551">_xlfn.SWITCH(J551,"M","Medium","L","Light","D","Dark")</f>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 = 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f t="shared" si="16"/>
        <v>23.31</v>
      </c>
      <c r="N552" t="str">
        <f t="shared" si="17"/>
        <v>Liberica</v>
      </c>
      <c r="O552" t="str" cm="1">
        <f t="array" ref="O552">_xlfn.SWITCH(J552,"M","Medium","L","Light","D","Dark")</f>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 = 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f t="shared" si="16"/>
        <v>7.29</v>
      </c>
      <c r="N553" t="str">
        <f t="shared" si="17"/>
        <v>Excelsa</v>
      </c>
      <c r="O553" t="str" cm="1">
        <f t="array" ref="O553">_xlfn.SWITCH(J553,"M","Medium","L","Light","D","Dark")</f>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 = 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f t="shared" si="16"/>
        <v>17.82</v>
      </c>
      <c r="N554" t="str">
        <f t="shared" si="17"/>
        <v>Excelsa</v>
      </c>
      <c r="O554" t="str" cm="1">
        <f t="array" ref="O554">_xlfn.SWITCH(J554,"M","Medium","L","Light","D","Dark")</f>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 = 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f t="shared" si="16"/>
        <v>68.75</v>
      </c>
      <c r="N555" t="str">
        <f t="shared" si="17"/>
        <v>Excelsa</v>
      </c>
      <c r="O555" t="str" cm="1">
        <f t="array" ref="O555">_xlfn.SWITCH(J555,"M","Medium","L","Light","D","Dark")</f>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 = 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f t="shared" si="16"/>
        <v>54.969999999999992</v>
      </c>
      <c r="N556" t="str">
        <f t="shared" si="17"/>
        <v>Robusta</v>
      </c>
      <c r="O556" t="str" cm="1">
        <f t="array" ref="O556">_xlfn.SWITCH(J556,"M","Medium","L","Light","D","Dark")</f>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 = 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f t="shared" si="16"/>
        <v>82.5</v>
      </c>
      <c r="N557" t="str">
        <f t="shared" si="17"/>
        <v>Excelsa</v>
      </c>
      <c r="O557" t="str" cm="1">
        <f t="array" ref="O557">_xlfn.SWITCH(J557,"M","Medium","L","Light","D","Dark")</f>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 = 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f t="shared" si="16"/>
        <v>8.73</v>
      </c>
      <c r="N558" t="str">
        <f t="shared" si="17"/>
        <v>Liberica</v>
      </c>
      <c r="O558" t="str" cm="1">
        <f t="array" ref="O558">_xlfn.SWITCH(J558,"M","Medium","L","Light","D","Dark")</f>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 = 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f t="shared" si="16"/>
        <v>59.4</v>
      </c>
      <c r="N559" t="str">
        <f t="shared" si="17"/>
        <v>Excelsa</v>
      </c>
      <c r="O559" t="str" cm="1">
        <f t="array" ref="O559">_xlfn.SWITCH(J559,"M","Medium","L","Light","D","Dark")</f>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 = 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f t="shared" si="16"/>
        <v>15.54</v>
      </c>
      <c r="N560" t="str">
        <f t="shared" si="17"/>
        <v>Liberica</v>
      </c>
      <c r="O560" t="str" cm="1">
        <f t="array" ref="O560">_xlfn.SWITCH(J560,"M","Medium","L","Light","D","Dark")</f>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 = 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f t="shared" si="16"/>
        <v>38.849999999999994</v>
      </c>
      <c r="N561" t="str">
        <f t="shared" si="17"/>
        <v>Arabica</v>
      </c>
      <c r="O561" t="str" cm="1">
        <f t="array" ref="O561">_xlfn.SWITCH(J561,"M","Medium","L","Light","D","Dark")</f>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 = 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f t="shared" si="16"/>
        <v>189.74999999999997</v>
      </c>
      <c r="N562" t="str">
        <f t="shared" si="17"/>
        <v>Excelsa</v>
      </c>
      <c r="O562" t="str" cm="1">
        <f t="array" ref="O562">_xlfn.SWITCH(J562,"M","Medium","L","Light","D","Dark")</f>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 = 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f t="shared" si="16"/>
        <v>17.91</v>
      </c>
      <c r="N563" t="str">
        <f t="shared" si="17"/>
        <v>Arabica</v>
      </c>
      <c r="O563" t="str" cm="1">
        <f t="array" ref="O563">_xlfn.SWITCH(J563,"M","Medium","L","Light","D","Dark")</f>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 = 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f t="shared" si="16"/>
        <v>28.53</v>
      </c>
      <c r="N564" t="str">
        <f t="shared" si="17"/>
        <v>Liberica</v>
      </c>
      <c r="O564" t="str" cm="1">
        <f t="array" ref="O564">_xlfn.SWITCH(J564,"M","Medium","L","Light","D","Dark")</f>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 = 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f t="shared" si="16"/>
        <v>82.5</v>
      </c>
      <c r="N565" t="str">
        <f t="shared" si="17"/>
        <v>Excelsa</v>
      </c>
      <c r="O565" t="str" cm="1">
        <f t="array" ref="O565">_xlfn.SWITCH(J565,"M","Medium","L","Light","D","Dark")</f>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 = 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f t="shared" si="16"/>
        <v>14.339999999999998</v>
      </c>
      <c r="N566" t="str">
        <f t="shared" si="17"/>
        <v>Robusta</v>
      </c>
      <c r="O566" t="str" cm="1">
        <f t="array" ref="O566">_xlfn.SWITCH(J566,"M","Medium","L","Light","D","Dark")</f>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 = 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f t="shared" si="16"/>
        <v>82.339999999999989</v>
      </c>
      <c r="N567" t="str">
        <f t="shared" si="17"/>
        <v>Robusta</v>
      </c>
      <c r="O567" t="str" cm="1">
        <f t="array" ref="O567">_xlfn.SWITCH(J567,"M","Medium","L","Light","D","Dark")</f>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 = 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f t="shared" si="16"/>
        <v>20.25</v>
      </c>
      <c r="N568" t="str">
        <f t="shared" si="17"/>
        <v>Arabica</v>
      </c>
      <c r="O568" t="str" cm="1">
        <f t="array" ref="O568">_xlfn.SWITCH(J568,"M","Medium","L","Light","D","Dark")</f>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 = 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f t="shared" si="16"/>
        <v>164.90999999999997</v>
      </c>
      <c r="N569" t="str">
        <f t="shared" si="17"/>
        <v>Robusta</v>
      </c>
      <c r="O569" t="str" cm="1">
        <f t="array" ref="O569">_xlfn.SWITCH(J569,"M","Medium","L","Light","D","Dark")</f>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 = 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f t="shared" si="16"/>
        <v>19.02</v>
      </c>
      <c r="N570" t="str">
        <f t="shared" si="17"/>
        <v>Liberica</v>
      </c>
      <c r="O570" t="str" cm="1">
        <f t="array" ref="O570">_xlfn.SWITCH(J570,"M","Medium","L","Light","D","Dark")</f>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 = 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f t="shared" si="16"/>
        <v>137.31</v>
      </c>
      <c r="N571" t="str">
        <f t="shared" si="17"/>
        <v>Arabica</v>
      </c>
      <c r="O571" t="str" cm="1">
        <f t="array" ref="O571">_xlfn.SWITCH(J571,"M","Medium","L","Light","D","Dark")</f>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 = 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f t="shared" si="16"/>
        <v>27</v>
      </c>
      <c r="N572" t="str">
        <f t="shared" si="17"/>
        <v>Arabica</v>
      </c>
      <c r="O572" t="str" cm="1">
        <f t="array" ref="O572">_xlfn.SWITCH(J572,"M","Medium","L","Light","D","Dark")</f>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 = 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f t="shared" si="16"/>
        <v>35.64</v>
      </c>
      <c r="N573" t="str">
        <f t="shared" si="17"/>
        <v>Excelsa</v>
      </c>
      <c r="O573" t="str" cm="1">
        <f t="array" ref="O573">_xlfn.SWITCH(J573,"M","Medium","L","Light","D","Dark")</f>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 = 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f t="shared" si="16"/>
        <v>5.97</v>
      </c>
      <c r="N574" t="str">
        <f t="shared" si="17"/>
        <v>Arabica</v>
      </c>
      <c r="O574" t="str" cm="1">
        <f t="array" ref="O574">_xlfn.SWITCH(J574,"M","Medium","L","Light","D","Dark")</f>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 = 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f t="shared" si="16"/>
        <v>67.5</v>
      </c>
      <c r="N575" t="str">
        <f t="shared" si="17"/>
        <v>Arabica</v>
      </c>
      <c r="O575" t="str" cm="1">
        <f t="array" ref="O575">_xlfn.SWITCH(J575,"M","Medium","L","Light","D","Dark")</f>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 = 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f t="shared" si="16"/>
        <v>21.509999999999998</v>
      </c>
      <c r="N576" t="str">
        <f t="shared" si="17"/>
        <v>Robusta</v>
      </c>
      <c r="O576" t="str" cm="1">
        <f t="array" ref="O576">_xlfn.SWITCH(J576,"M","Medium","L","Light","D","Dark")</f>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 = 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f t="shared" si="16"/>
        <v>66.929999999999993</v>
      </c>
      <c r="N577" t="str">
        <f t="shared" si="17"/>
        <v>Liberica</v>
      </c>
      <c r="O577" t="str" cm="1">
        <f t="array" ref="O577">_xlfn.SWITCH(J577,"M","Medium","L","Light","D","Dark")</f>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 = 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f t="shared" si="16"/>
        <v>17.91</v>
      </c>
      <c r="N578" t="str">
        <f t="shared" si="17"/>
        <v>Arabica</v>
      </c>
      <c r="O578" t="str" cm="1">
        <f t="array" ref="O578">_xlfn.SWITCH(J578,"M","Medium","L","Light","D","Dark")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 = 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f t="shared" ref="M579:M642" si="18">L579*E579</f>
        <v>58.2</v>
      </c>
      <c r="N579" t="str">
        <f t="shared" ref="N579:N642" si="19">IF(I579="Rob","Robusta",IF(I579="Exc","Excelsa",IF(I579="Ara","Arabica",IF(I579="Lib","Liberica",""))))</f>
        <v>Liberica</v>
      </c>
      <c r="O579" t="str" cm="1">
        <f t="array" ref="O579">_xlfn.SWITCH(J579,"M","Medium","L","Light","D","Dark")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 = 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f t="shared" si="18"/>
        <v>13.365</v>
      </c>
      <c r="N580" t="str">
        <f t="shared" si="19"/>
        <v>Excelsa</v>
      </c>
      <c r="O580" t="str" cm="1">
        <f t="array" ref="O580">_xlfn.SWITCH(J580,"M","Medium","L","Light","D","Dark")</f>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 = 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f t="shared" si="18"/>
        <v>33.75</v>
      </c>
      <c r="N581" t="str">
        <f t="shared" si="19"/>
        <v>Arabica</v>
      </c>
      <c r="O581" t="str" cm="1">
        <f t="array" ref="O581">_xlfn.SWITCH(J581,"M","Medium","L","Light","D","Dark")</f>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 = 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f t="shared" si="18"/>
        <v>44.55</v>
      </c>
      <c r="N582" t="str">
        <f t="shared" si="19"/>
        <v>Excelsa</v>
      </c>
      <c r="O582" t="str" cm="1">
        <f t="array" ref="O582">_xlfn.SWITCH(J582,"M","Medium","L","Light","D","Dark")</f>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 = 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f t="shared" si="18"/>
        <v>44.55</v>
      </c>
      <c r="N583" t="str">
        <f t="shared" si="19"/>
        <v>Excelsa</v>
      </c>
      <c r="O583" t="str" cm="1">
        <f t="array" ref="O583">_xlfn.SWITCH(J583,"M","Medium","L","Light","D","Dark")</f>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 = 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f t="shared" si="18"/>
        <v>60.75</v>
      </c>
      <c r="N584" t="str">
        <f t="shared" si="19"/>
        <v>Excelsa</v>
      </c>
      <c r="O584" t="str" cm="1">
        <f t="array" ref="O584">_xlfn.SWITCH(J584,"M","Medium","L","Light","D","Dark")</f>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 = 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f t="shared" si="18"/>
        <v>3.5849999999999995</v>
      </c>
      <c r="N585" t="str">
        <f t="shared" si="19"/>
        <v>Robusta</v>
      </c>
      <c r="O585" t="str" cm="1">
        <f t="array" ref="O585">_xlfn.SWITCH(J585,"M","Medium","L","Light","D","Dark")</f>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 = 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f t="shared" si="18"/>
        <v>21.509999999999998</v>
      </c>
      <c r="N586" t="str">
        <f t="shared" si="19"/>
        <v>Robusta</v>
      </c>
      <c r="O586" t="str" cm="1">
        <f t="array" ref="O586">_xlfn.SWITCH(J586,"M","Medium","L","Light","D","Dark")</f>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 = 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f t="shared" si="18"/>
        <v>16.5</v>
      </c>
      <c r="N587" t="str">
        <f t="shared" si="19"/>
        <v>Excelsa</v>
      </c>
      <c r="O587" t="str" cm="1">
        <f t="array" ref="O587">_xlfn.SWITCH(J587,"M","Medium","L","Light","D","Dark")</f>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 = 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f t="shared" si="18"/>
        <v>82.454999999999984</v>
      </c>
      <c r="N588" t="str">
        <f t="shared" si="19"/>
        <v>Robusta</v>
      </c>
      <c r="O588" t="str" cm="1">
        <f t="array" ref="O588">_xlfn.SWITCH(J588,"M","Medium","L","Light","D","Dark")</f>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 = 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f t="shared" si="18"/>
        <v>7.77</v>
      </c>
      <c r="N589" t="str">
        <f t="shared" si="19"/>
        <v>Liberica</v>
      </c>
      <c r="O589" t="str" cm="1">
        <f t="array" ref="O589">_xlfn.SWITCH(J589,"M","Medium","L","Light","D","Dark")</f>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 = 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f t="shared" si="18"/>
        <v>11.94</v>
      </c>
      <c r="N590" t="str">
        <f t="shared" si="19"/>
        <v>Robusta</v>
      </c>
      <c r="O590" t="str" cm="1">
        <f t="array" ref="O590">_xlfn.SWITCH(J590,"M","Medium","L","Light","D","Dark")</f>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 = 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f t="shared" si="18"/>
        <v>204.92999999999995</v>
      </c>
      <c r="N591" t="str">
        <f t="shared" si="19"/>
        <v>Excelsa</v>
      </c>
      <c r="O591" t="str" cm="1">
        <f t="array" ref="O591">_xlfn.SWITCH(J591,"M","Medium","L","Light","D","Dark")</f>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 = 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f t="shared" si="18"/>
        <v>63.249999999999993</v>
      </c>
      <c r="N592" t="str">
        <f t="shared" si="19"/>
        <v>Excelsa</v>
      </c>
      <c r="O592" t="str" cm="1">
        <f t="array" ref="O592">_xlfn.SWITCH(J592,"M","Medium","L","Light","D","Dark")</f>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 = 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f t="shared" si="18"/>
        <v>8.0549999999999997</v>
      </c>
      <c r="N593" t="str">
        <f t="shared" si="19"/>
        <v>Robusta</v>
      </c>
      <c r="O593" t="str" cm="1">
        <f t="array" ref="O593">_xlfn.SWITCH(J593,"M","Medium","L","Light","D","Dark")</f>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 = 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f t="shared" si="18"/>
        <v>51.749999999999993</v>
      </c>
      <c r="N594" t="str">
        <f t="shared" si="19"/>
        <v>Arabica</v>
      </c>
      <c r="O594" t="str" cm="1">
        <f t="array" ref="O594">_xlfn.SWITCH(J594,"M","Medium","L","Light","D","Dark")</f>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 = 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f t="shared" si="18"/>
        <v>27.945</v>
      </c>
      <c r="N595" t="str">
        <f t="shared" si="19"/>
        <v>Excelsa</v>
      </c>
      <c r="O595" t="str" cm="1">
        <f t="array" ref="O595">_xlfn.SWITCH(J595,"M","Medium","L","Light","D","Dark")</f>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 = 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f t="shared" si="18"/>
        <v>59.569999999999993</v>
      </c>
      <c r="N596" t="str">
        <f t="shared" si="19"/>
        <v>Arabica</v>
      </c>
      <c r="O596" t="str" cm="1">
        <f t="array" ref="O596">_xlfn.SWITCH(J596,"M","Medium","L","Light","D","Dark")</f>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 = 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f t="shared" si="18"/>
        <v>14.85</v>
      </c>
      <c r="N597" t="str">
        <f t="shared" si="19"/>
        <v>Excelsa</v>
      </c>
      <c r="O597" t="str" cm="1">
        <f t="array" ref="O597">_xlfn.SWITCH(J597,"M","Medium","L","Light","D","Dark")</f>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 = 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f t="shared" si="18"/>
        <v>33.75</v>
      </c>
      <c r="N598" t="str">
        <f t="shared" si="19"/>
        <v>Arabica</v>
      </c>
      <c r="O598" t="str" cm="1">
        <f t="array" ref="O598">_xlfn.SWITCH(J598,"M","Medium","L","Light","D","Dark")</f>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 = 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f t="shared" si="18"/>
        <v>145.82</v>
      </c>
      <c r="N599" t="str">
        <f t="shared" si="19"/>
        <v>Liberica</v>
      </c>
      <c r="O599" t="str" cm="1">
        <f t="array" ref="O599">_xlfn.SWITCH(J599,"M","Medium","L","Light","D","Dark")</f>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 = 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f t="shared" si="18"/>
        <v>11.94</v>
      </c>
      <c r="N600" t="str">
        <f t="shared" si="19"/>
        <v>Robusta</v>
      </c>
      <c r="O600" t="str" cm="1">
        <f t="array" ref="O600">_xlfn.SWITCH(J600,"M","Medium","L","Light","D","Dark")</f>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 = 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f t="shared" si="18"/>
        <v>11.94</v>
      </c>
      <c r="N601" t="str">
        <f t="shared" si="19"/>
        <v>Arabica</v>
      </c>
      <c r="O601" t="str" cm="1">
        <f t="array" ref="O601">_xlfn.SWITCH(J601,"M","Medium","L","Light","D","Dark")</f>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 = 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f t="shared" si="18"/>
        <v>7.77</v>
      </c>
      <c r="N602" t="str">
        <f t="shared" si="19"/>
        <v>Liberica</v>
      </c>
      <c r="O602" t="str" cm="1">
        <f t="array" ref="O602">_xlfn.SWITCH(J602,"M","Medium","L","Light","D","Dark")</f>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 = 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f t="shared" si="18"/>
        <v>109.93999999999998</v>
      </c>
      <c r="N603" t="str">
        <f t="shared" si="19"/>
        <v>Robusta</v>
      </c>
      <c r="O603" t="str" cm="1">
        <f t="array" ref="O603">_xlfn.SWITCH(J603,"M","Medium","L","Light","D","Dark")</f>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 = 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f t="shared" si="18"/>
        <v>22.274999999999999</v>
      </c>
      <c r="N604" t="str">
        <f t="shared" si="19"/>
        <v>Excelsa</v>
      </c>
      <c r="O604" t="str" cm="1">
        <f t="array" ref="O604">_xlfn.SWITCH(J604,"M","Medium","L","Light","D","Dark")</f>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 = 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f t="shared" si="18"/>
        <v>8.9550000000000001</v>
      </c>
      <c r="N605" t="str">
        <f t="shared" si="19"/>
        <v>Robusta</v>
      </c>
      <c r="O605" t="str" cm="1">
        <f t="array" ref="O605">_xlfn.SWITCH(J605,"M","Medium","L","Light","D","Dark")</f>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 = 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f t="shared" si="18"/>
        <v>119.13999999999999</v>
      </c>
      <c r="N606" t="str">
        <f t="shared" si="19"/>
        <v>Liberica</v>
      </c>
      <c r="O606" t="str" cm="1">
        <f t="array" ref="O606">_xlfn.SWITCH(J606,"M","Medium","L","Light","D","Dark")</f>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 = 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f t="shared" si="18"/>
        <v>148.92499999999998</v>
      </c>
      <c r="N607" t="str">
        <f t="shared" si="19"/>
        <v>Arabica</v>
      </c>
      <c r="O607" t="str" cm="1">
        <f t="array" ref="O607">_xlfn.SWITCH(J607,"M","Medium","L","Light","D","Dark")</f>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 = 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f t="shared" si="18"/>
        <v>109.36499999999999</v>
      </c>
      <c r="N608" t="str">
        <f t="shared" si="19"/>
        <v>Liberica</v>
      </c>
      <c r="O608" t="str" cm="1">
        <f t="array" ref="O608">_xlfn.SWITCH(J608,"M","Medium","L","Light","D","Dark")</f>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 = 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f t="shared" si="18"/>
        <v>3.645</v>
      </c>
      <c r="N609" t="str">
        <f t="shared" si="19"/>
        <v>Excelsa</v>
      </c>
      <c r="O609" t="str" cm="1">
        <f t="array" ref="O609">_xlfn.SWITCH(J609,"M","Medium","L","Light","D","Dark")</f>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 = 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f t="shared" si="18"/>
        <v>55.89</v>
      </c>
      <c r="N610" t="str">
        <f t="shared" si="19"/>
        <v>Excelsa</v>
      </c>
      <c r="O610" t="str" cm="1">
        <f t="array" ref="O610">_xlfn.SWITCH(J610,"M","Medium","L","Light","D","Dark")</f>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 = 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f t="shared" si="18"/>
        <v>26.19</v>
      </c>
      <c r="N611" t="str">
        <f t="shared" si="19"/>
        <v>Liberica</v>
      </c>
      <c r="O611" t="str" cm="1">
        <f t="array" ref="O611">_xlfn.SWITCH(J611,"M","Medium","L","Light","D","Dark")</f>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 = 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f t="shared" si="18"/>
        <v>39.799999999999997</v>
      </c>
      <c r="N612" t="str">
        <f t="shared" si="19"/>
        <v>Robusta</v>
      </c>
      <c r="O612" t="str" cm="1">
        <f t="array" ref="O612">_xlfn.SWITCH(J612,"M","Medium","L","Light","D","Dark")</f>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 = 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f t="shared" si="18"/>
        <v>68.309999999999988</v>
      </c>
      <c r="N613" t="str">
        <f t="shared" si="19"/>
        <v>Excelsa</v>
      </c>
      <c r="O613" t="str" cm="1">
        <f t="array" ref="O613">_xlfn.SWITCH(J613,"M","Medium","L","Light","D","Dark")</f>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 = 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f t="shared" si="18"/>
        <v>13.5</v>
      </c>
      <c r="N614" t="str">
        <f t="shared" si="19"/>
        <v>Arabica</v>
      </c>
      <c r="O614" t="str" cm="1">
        <f t="array" ref="O614">_xlfn.SWITCH(J614,"M","Medium","L","Light","D","Dark")</f>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 = 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f t="shared" si="18"/>
        <v>5.97</v>
      </c>
      <c r="N615" t="str">
        <f t="shared" si="19"/>
        <v>Robusta</v>
      </c>
      <c r="O615" t="str" cm="1">
        <f t="array" ref="O615">_xlfn.SWITCH(J615,"M","Medium","L","Light","D","Dark")</f>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 = 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f t="shared" si="18"/>
        <v>29.849999999999998</v>
      </c>
      <c r="N616" t="str">
        <f t="shared" si="19"/>
        <v>Robusta</v>
      </c>
      <c r="O616" t="str" cm="1">
        <f t="array" ref="O616">_xlfn.SWITCH(J616,"M","Medium","L","Light","D","Dark")</f>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 = 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f t="shared" si="18"/>
        <v>72.91</v>
      </c>
      <c r="N617" t="str">
        <f t="shared" si="19"/>
        <v>Liberica</v>
      </c>
      <c r="O617" t="str" cm="1">
        <f t="array" ref="O617">_xlfn.SWITCH(J617,"M","Medium","L","Light","D","Dark")</f>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 = 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f t="shared" si="18"/>
        <v>126.49999999999999</v>
      </c>
      <c r="N618" t="str">
        <f t="shared" si="19"/>
        <v>Excelsa</v>
      </c>
      <c r="O618" t="str" cm="1">
        <f t="array" ref="O618">_xlfn.SWITCH(J618,"M","Medium","L","Light","D","Dark")</f>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 = 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f t="shared" si="18"/>
        <v>33.464999999999996</v>
      </c>
      <c r="N619" t="str">
        <f t="shared" si="19"/>
        <v>Liberica</v>
      </c>
      <c r="O619" t="str" cm="1">
        <f t="array" ref="O619">_xlfn.SWITCH(J619,"M","Medium","L","Light","D","Dark")</f>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 = 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f t="shared" si="18"/>
        <v>72.900000000000006</v>
      </c>
      <c r="N620" t="str">
        <f t="shared" si="19"/>
        <v>Excelsa</v>
      </c>
      <c r="O620" t="str" cm="1">
        <f t="array" ref="O620">_xlfn.SWITCH(J620,"M","Medium","L","Light","D","Dark")</f>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 = 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f t="shared" si="18"/>
        <v>15.54</v>
      </c>
      <c r="N621" t="str">
        <f t="shared" si="19"/>
        <v>Liberica</v>
      </c>
      <c r="O621" t="str" cm="1">
        <f t="array" ref="O621">_xlfn.SWITCH(J621,"M","Medium","L","Light","D","Dark")</f>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 = 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f t="shared" si="18"/>
        <v>20.25</v>
      </c>
      <c r="N622" t="str">
        <f t="shared" si="19"/>
        <v>Arabica</v>
      </c>
      <c r="O622" t="str" cm="1">
        <f t="array" ref="O622">_xlfn.SWITCH(J622,"M","Medium","L","Light","D","Dark")</f>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 = 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f t="shared" si="18"/>
        <v>77.699999999999989</v>
      </c>
      <c r="N623" t="str">
        <f t="shared" si="19"/>
        <v>Arabica</v>
      </c>
      <c r="O623" t="str" cm="1">
        <f t="array" ref="O623">_xlfn.SWITCH(J623,"M","Medium","L","Light","D","Dark")</f>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 = 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f t="shared" si="18"/>
        <v>133.85999999999999</v>
      </c>
      <c r="N624" t="str">
        <f t="shared" si="19"/>
        <v>Liberica</v>
      </c>
      <c r="O624" t="str" cm="1">
        <f t="array" ref="O624">_xlfn.SWITCH(J624,"M","Medium","L","Light","D","Dark")</f>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 = 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f t="shared" si="18"/>
        <v>12.15</v>
      </c>
      <c r="N625" t="str">
        <f t="shared" si="19"/>
        <v>Excelsa</v>
      </c>
      <c r="O625" t="str" cm="1">
        <f t="array" ref="O625">_xlfn.SWITCH(J625,"M","Medium","L","Light","D","Dark")</f>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 = 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f t="shared" si="18"/>
        <v>63.249999999999993</v>
      </c>
      <c r="N626" t="str">
        <f t="shared" si="19"/>
        <v>Excelsa</v>
      </c>
      <c r="O626" t="str" cm="1">
        <f t="array" ref="O626">_xlfn.SWITCH(J626,"M","Medium","L","Light","D","Dark")</f>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 = 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f t="shared" si="18"/>
        <v>35.849999999999994</v>
      </c>
      <c r="N627" t="str">
        <f t="shared" si="19"/>
        <v>Robusta</v>
      </c>
      <c r="O627" t="str" cm="1">
        <f t="array" ref="O627">_xlfn.SWITCH(J627,"M","Medium","L","Light","D","Dark")</f>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 = 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f t="shared" si="18"/>
        <v>77.624999999999986</v>
      </c>
      <c r="N628" t="str">
        <f t="shared" si="19"/>
        <v>Arabica</v>
      </c>
      <c r="O628" t="str" cm="1">
        <f t="array" ref="O628">_xlfn.SWITCH(J628,"M","Medium","L","Light","D","Dark")</f>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 = 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f t="shared" si="18"/>
        <v>63.249999999999993</v>
      </c>
      <c r="N629" t="str">
        <f t="shared" si="19"/>
        <v>Excelsa</v>
      </c>
      <c r="O629" t="str" cm="1">
        <f t="array" ref="O629">_xlfn.SWITCH(J629,"M","Medium","L","Light","D","Dark")</f>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 = 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f t="shared" si="18"/>
        <v>26.73</v>
      </c>
      <c r="N630" t="str">
        <f t="shared" si="19"/>
        <v>Excelsa</v>
      </c>
      <c r="O630" t="str" cm="1">
        <f t="array" ref="O630">_xlfn.SWITCH(J630,"M","Medium","L","Light","D","Dark")</f>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 = 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f t="shared" si="18"/>
        <v>31.08</v>
      </c>
      <c r="N631" t="str">
        <f t="shared" si="19"/>
        <v>Liberica</v>
      </c>
      <c r="O631" t="str" cm="1">
        <f t="array" ref="O631">_xlfn.SWITCH(J631,"M","Medium","L","Light","D","Dark")</f>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 = 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f t="shared" si="18"/>
        <v>2.9849999999999999</v>
      </c>
      <c r="N632" t="str">
        <f t="shared" si="19"/>
        <v>Arabica</v>
      </c>
      <c r="O632" t="str" cm="1">
        <f t="array" ref="O632">_xlfn.SWITCH(J632,"M","Medium","L","Light","D","Dark")</f>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 = 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f t="shared" si="18"/>
        <v>102.92499999999998</v>
      </c>
      <c r="N633" t="str">
        <f t="shared" si="19"/>
        <v>Robusta</v>
      </c>
      <c r="O633" t="str" cm="1">
        <f t="array" ref="O633">_xlfn.SWITCH(J633,"M","Medium","L","Light","D","Dark")</f>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 = 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f t="shared" si="18"/>
        <v>35.64</v>
      </c>
      <c r="N634" t="str">
        <f t="shared" si="19"/>
        <v>Excelsa</v>
      </c>
      <c r="O634" t="str" cm="1">
        <f t="array" ref="O634">_xlfn.SWITCH(J634,"M","Medium","L","Light","D","Dark")</f>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 = 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f t="shared" si="18"/>
        <v>47.8</v>
      </c>
      <c r="N635" t="str">
        <f t="shared" si="19"/>
        <v>Robusta</v>
      </c>
      <c r="O635" t="str" cm="1">
        <f t="array" ref="O635">_xlfn.SWITCH(J635,"M","Medium","L","Light","D","Dark")</f>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 = 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f t="shared" si="18"/>
        <v>43.650000000000006</v>
      </c>
      <c r="N636" t="str">
        <f t="shared" si="19"/>
        <v>Liberica</v>
      </c>
      <c r="O636" t="str" cm="1">
        <f t="array" ref="O636">_xlfn.SWITCH(J636,"M","Medium","L","Light","D","Dark")</f>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 = 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f t="shared" si="18"/>
        <v>35.64</v>
      </c>
      <c r="N637" t="str">
        <f t="shared" si="19"/>
        <v>Excelsa</v>
      </c>
      <c r="O637" t="str" cm="1">
        <f t="array" ref="O637">_xlfn.SWITCH(J637,"M","Medium","L","Light","D","Dark")</f>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 = 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f t="shared" si="18"/>
        <v>95.1</v>
      </c>
      <c r="N638" t="str">
        <f t="shared" si="19"/>
        <v>Liberica</v>
      </c>
      <c r="O638" t="str" cm="1">
        <f t="array" ref="O638">_xlfn.SWITCH(J638,"M","Medium","L","Light","D","Dark")</f>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 = 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f t="shared" si="18"/>
        <v>31.624999999999996</v>
      </c>
      <c r="N639" t="str">
        <f t="shared" si="19"/>
        <v>Excelsa</v>
      </c>
      <c r="O639" t="str" cm="1">
        <f t="array" ref="O639">_xlfn.SWITCH(J639,"M","Medium","L","Light","D","Dark")</f>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 = 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f t="shared" si="18"/>
        <v>77.624999999999986</v>
      </c>
      <c r="N640" t="str">
        <f t="shared" si="19"/>
        <v>Arabica</v>
      </c>
      <c r="O640" t="str" cm="1">
        <f t="array" ref="O640">_xlfn.SWITCH(J640,"M","Medium","L","Light","D","Dark")</f>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 = 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f t="shared" si="18"/>
        <v>3.8849999999999998</v>
      </c>
      <c r="N641" t="str">
        <f t="shared" si="19"/>
        <v>Liberica</v>
      </c>
      <c r="O641" t="str" cm="1">
        <f t="array" ref="O641">_xlfn.SWITCH(J641,"M","Medium","L","Light","D","Dark")</f>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 = 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f t="shared" si="18"/>
        <v>137.42499999999998</v>
      </c>
      <c r="N642" t="str">
        <f t="shared" si="19"/>
        <v>Robusta</v>
      </c>
      <c r="O642" t="str" cm="1">
        <f t="array" ref="O642">_xlfn.SWITCH(J642,"M","Medium","L","Light","D","Dark")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 = 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f t="shared" ref="M643:M706" si="20">L643*E643</f>
        <v>35.849999999999994</v>
      </c>
      <c r="N643" t="str">
        <f t="shared" ref="N643:N706" si="21">IF(I643="Rob","Robusta",IF(I643="Exc","Excelsa",IF(I643="Ara","Arabica",IF(I643="Lib","Liberica",""))))</f>
        <v>Robusta</v>
      </c>
      <c r="O643" t="str" cm="1">
        <f t="array" ref="O643">_xlfn.SWITCH(J643,"M","Medium","L","Light","D","Dark")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 = 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f t="shared" si="20"/>
        <v>8.25</v>
      </c>
      <c r="N644" t="str">
        <f t="shared" si="21"/>
        <v>Excelsa</v>
      </c>
      <c r="O644" t="str" cm="1">
        <f t="array" ref="O644">_xlfn.SWITCH(J644,"M","Medium","L","Light","D","Dark")</f>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 = 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f t="shared" si="20"/>
        <v>102.46499999999997</v>
      </c>
      <c r="N645" t="str">
        <f t="shared" si="21"/>
        <v>Excelsa</v>
      </c>
      <c r="O645" t="str" cm="1">
        <f t="array" ref="O645">_xlfn.SWITCH(J645,"M","Medium","L","Light","D","Dark")</f>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 = 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f t="shared" si="20"/>
        <v>41.169999999999995</v>
      </c>
      <c r="N646" t="str">
        <f t="shared" si="21"/>
        <v>Robusta</v>
      </c>
      <c r="O646" t="str" cm="1">
        <f t="array" ref="O646">_xlfn.SWITCH(J646,"M","Medium","L","Light","D","Dark")</f>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 = 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f t="shared" si="20"/>
        <v>68.655000000000001</v>
      </c>
      <c r="N647" t="str">
        <f t="shared" si="21"/>
        <v>Arabica</v>
      </c>
      <c r="O647" t="str" cm="1">
        <f t="array" ref="O647">_xlfn.SWITCH(J647,"M","Medium","L","Light","D","Dark")</f>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 = 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f t="shared" si="20"/>
        <v>9.9499999999999993</v>
      </c>
      <c r="N648" t="str">
        <f t="shared" si="21"/>
        <v>Arabica</v>
      </c>
      <c r="O648" t="str" cm="1">
        <f t="array" ref="O648">_xlfn.SWITCH(J648,"M","Medium","L","Light","D","Dark")</f>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 = 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f t="shared" si="20"/>
        <v>28.53</v>
      </c>
      <c r="N649" t="str">
        <f t="shared" si="21"/>
        <v>Liberica</v>
      </c>
      <c r="O649" t="str" cm="1">
        <f t="array" ref="O649">_xlfn.SWITCH(J649,"M","Medium","L","Light","D","Dark")</f>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 = 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f t="shared" si="20"/>
        <v>16.11</v>
      </c>
      <c r="N650" t="str">
        <f t="shared" si="21"/>
        <v>Robusta</v>
      </c>
      <c r="O650" t="str" cm="1">
        <f t="array" ref="O650">_xlfn.SWITCH(J650,"M","Medium","L","Light","D","Dark")</f>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 = 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f t="shared" si="20"/>
        <v>95.1</v>
      </c>
      <c r="N651" t="str">
        <f t="shared" si="21"/>
        <v>Liberica</v>
      </c>
      <c r="O651" t="str" cm="1">
        <f t="array" ref="O651">_xlfn.SWITCH(J651,"M","Medium","L","Light","D","Dark")</f>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 = 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f t="shared" si="20"/>
        <v>5.3699999999999992</v>
      </c>
      <c r="N652" t="str">
        <f t="shared" si="21"/>
        <v>Robusta</v>
      </c>
      <c r="O652" t="str" cm="1">
        <f t="array" ref="O652">_xlfn.SWITCH(J652,"M","Medium","L","Light","D","Dark")</f>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 = 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f t="shared" si="20"/>
        <v>47.8</v>
      </c>
      <c r="N653" t="str">
        <f t="shared" si="21"/>
        <v>Robusta</v>
      </c>
      <c r="O653" t="str" cm="1">
        <f t="array" ref="O653">_xlfn.SWITCH(J653,"M","Medium","L","Light","D","Dark")</f>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 = 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f t="shared" si="20"/>
        <v>63.4</v>
      </c>
      <c r="N654" t="str">
        <f t="shared" si="21"/>
        <v>Liberica</v>
      </c>
      <c r="O654" t="str" cm="1">
        <f t="array" ref="O654">_xlfn.SWITCH(J654,"M","Medium","L","Light","D","Dark")</f>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 = 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f t="shared" si="20"/>
        <v>103.49999999999999</v>
      </c>
      <c r="N655" t="str">
        <f t="shared" si="21"/>
        <v>Arabica</v>
      </c>
      <c r="O655" t="str" cm="1">
        <f t="array" ref="O655">_xlfn.SWITCH(J655,"M","Medium","L","Light","D","Dark")</f>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 = 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f t="shared" si="20"/>
        <v>68.655000000000001</v>
      </c>
      <c r="N656" t="str">
        <f t="shared" si="21"/>
        <v>Arabica</v>
      </c>
      <c r="O656" t="str" cm="1">
        <f t="array" ref="O656">_xlfn.SWITCH(J656,"M","Medium","L","Light","D","Dark")</f>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 = 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f t="shared" si="20"/>
        <v>45.769999999999996</v>
      </c>
      <c r="N657" t="str">
        <f t="shared" si="21"/>
        <v>Robusta</v>
      </c>
      <c r="O657" t="str" cm="1">
        <f t="array" ref="O657">_xlfn.SWITCH(J657,"M","Medium","L","Light","D","Dark")</f>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 = 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f t="shared" si="20"/>
        <v>51.8</v>
      </c>
      <c r="N658" t="str">
        <f t="shared" si="21"/>
        <v>Liberica</v>
      </c>
      <c r="O658" t="str" cm="1">
        <f t="array" ref="O658">_xlfn.SWITCH(J658,"M","Medium","L","Light","D","Dark")</f>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 = 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f t="shared" si="20"/>
        <v>13.5</v>
      </c>
      <c r="N659" t="str">
        <f t="shared" si="21"/>
        <v>Arabica</v>
      </c>
      <c r="O659" t="str" cm="1">
        <f t="array" ref="O659">_xlfn.SWITCH(J659,"M","Medium","L","Light","D","Dark")</f>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 = 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f t="shared" si="20"/>
        <v>24.75</v>
      </c>
      <c r="N660" t="str">
        <f t="shared" si="21"/>
        <v>Excelsa</v>
      </c>
      <c r="O660" t="str" cm="1">
        <f t="array" ref="O660">_xlfn.SWITCH(J660,"M","Medium","L","Light","D","Dark")</f>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 = 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f t="shared" si="20"/>
        <v>45.769999999999996</v>
      </c>
      <c r="N661" t="str">
        <f t="shared" si="21"/>
        <v>Arabica</v>
      </c>
      <c r="O661" t="str" cm="1">
        <f t="array" ref="O661">_xlfn.SWITCH(J661,"M","Medium","L","Light","D","Dark")</f>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 = 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f t="shared" si="20"/>
        <v>53.46</v>
      </c>
      <c r="N662" t="str">
        <f t="shared" si="21"/>
        <v>Excelsa</v>
      </c>
      <c r="O662" t="str" cm="1">
        <f t="array" ref="O662">_xlfn.SWITCH(J662,"M","Medium","L","Light","D","Dark")</f>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 = 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f t="shared" si="20"/>
        <v>20.25</v>
      </c>
      <c r="N663" t="str">
        <f t="shared" si="21"/>
        <v>Arabica</v>
      </c>
      <c r="O663" t="str" cm="1">
        <f t="array" ref="O663">_xlfn.SWITCH(J663,"M","Medium","L","Light","D","Dark")</f>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 = 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f t="shared" si="20"/>
        <v>148.92499999999998</v>
      </c>
      <c r="N664" t="str">
        <f t="shared" si="21"/>
        <v>Liberica</v>
      </c>
      <c r="O664" t="str" cm="1">
        <f t="array" ref="O664">_xlfn.SWITCH(J664,"M","Medium","L","Light","D","Dark")</f>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 = 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f t="shared" si="20"/>
        <v>67.5</v>
      </c>
      <c r="N665" t="str">
        <f t="shared" si="21"/>
        <v>Arabica</v>
      </c>
      <c r="O665" t="str" cm="1">
        <f t="array" ref="O665">_xlfn.SWITCH(J665,"M","Medium","L","Light","D","Dark")</f>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 = 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f t="shared" si="20"/>
        <v>72.900000000000006</v>
      </c>
      <c r="N666" t="str">
        <f t="shared" si="21"/>
        <v>Excelsa</v>
      </c>
      <c r="O666" t="str" cm="1">
        <f t="array" ref="O666">_xlfn.SWITCH(J666,"M","Medium","L","Light","D","Dark")</f>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 = 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f t="shared" si="20"/>
        <v>7.77</v>
      </c>
      <c r="N667" t="str">
        <f t="shared" si="21"/>
        <v>Liberica</v>
      </c>
      <c r="O667" t="str" cm="1">
        <f t="array" ref="O667">_xlfn.SWITCH(J667,"M","Medium","L","Light","D","Dark")</f>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 = 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f t="shared" si="20"/>
        <v>91.539999999999992</v>
      </c>
      <c r="N668" t="str">
        <f t="shared" si="21"/>
        <v>Arabica</v>
      </c>
      <c r="O668" t="str" cm="1">
        <f t="array" ref="O668">_xlfn.SWITCH(J668,"M","Medium","L","Light","D","Dark")</f>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 = 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f t="shared" si="20"/>
        <v>59.699999999999996</v>
      </c>
      <c r="N669" t="str">
        <f t="shared" si="21"/>
        <v>Arabica</v>
      </c>
      <c r="O669" t="str" cm="1">
        <f t="array" ref="O669">_xlfn.SWITCH(J669,"M","Medium","L","Light","D","Dark")</f>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 = 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f t="shared" si="20"/>
        <v>137.42499999999998</v>
      </c>
      <c r="N670" t="str">
        <f t="shared" si="21"/>
        <v>Robusta</v>
      </c>
      <c r="O670" t="str" cm="1">
        <f t="array" ref="O670">_xlfn.SWITCH(J670,"M","Medium","L","Light","D","Dark")</f>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 = 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f t="shared" si="20"/>
        <v>66.929999999999993</v>
      </c>
      <c r="N671" t="str">
        <f t="shared" si="21"/>
        <v>Liberica</v>
      </c>
      <c r="O671" t="str" cm="1">
        <f t="array" ref="O671">_xlfn.SWITCH(J671,"M","Medium","L","Light","D","Dark")</f>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 = 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f t="shared" si="20"/>
        <v>13.095000000000001</v>
      </c>
      <c r="N672" t="str">
        <f t="shared" si="21"/>
        <v>Liberica</v>
      </c>
      <c r="O672" t="str" cm="1">
        <f t="array" ref="O672">_xlfn.SWITCH(J672,"M","Medium","L","Light","D","Dark")</f>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 = 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f t="shared" si="20"/>
        <v>59.75</v>
      </c>
      <c r="N673" t="str">
        <f t="shared" si="21"/>
        <v>Robusta</v>
      </c>
      <c r="O673" t="str" cm="1">
        <f t="array" ref="O673">_xlfn.SWITCH(J673,"M","Medium","L","Light","D","Dark")</f>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 = 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f t="shared" si="20"/>
        <v>43.650000000000006</v>
      </c>
      <c r="N674" t="str">
        <f t="shared" si="21"/>
        <v>Liberica</v>
      </c>
      <c r="O674" t="str" cm="1">
        <f t="array" ref="O674">_xlfn.SWITCH(J674,"M","Medium","L","Light","D","Dark")</f>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 = 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f t="shared" si="20"/>
        <v>82.5</v>
      </c>
      <c r="N675" t="str">
        <f t="shared" si="21"/>
        <v>Excelsa</v>
      </c>
      <c r="O675" t="str" cm="1">
        <f t="array" ref="O675">_xlfn.SWITCH(J675,"M","Medium","L","Light","D","Dark")</f>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 = 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f t="shared" si="20"/>
        <v>178.70999999999998</v>
      </c>
      <c r="N676" t="str">
        <f t="shared" si="21"/>
        <v>Arabica</v>
      </c>
      <c r="O676" t="str" cm="1">
        <f t="array" ref="O676">_xlfn.SWITCH(J676,"M","Medium","L","Light","D","Dark")</f>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 = 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f t="shared" si="20"/>
        <v>119.13999999999999</v>
      </c>
      <c r="N677" t="str">
        <f t="shared" si="21"/>
        <v>Liberica</v>
      </c>
      <c r="O677" t="str" cm="1">
        <f t="array" ref="O677">_xlfn.SWITCH(J677,"M","Medium","L","Light","D","Dark")</f>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 = 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f t="shared" si="20"/>
        <v>47.55</v>
      </c>
      <c r="N678" t="str">
        <f t="shared" si="21"/>
        <v>Liberica</v>
      </c>
      <c r="O678" t="str" cm="1">
        <f t="array" ref="O678">_xlfn.SWITCH(J678,"M","Medium","L","Light","D","Dark")</f>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 = 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f t="shared" si="20"/>
        <v>43.650000000000006</v>
      </c>
      <c r="N679" t="str">
        <f t="shared" si="21"/>
        <v>Liberica</v>
      </c>
      <c r="O679" t="str" cm="1">
        <f t="array" ref="O679">_xlfn.SWITCH(J679,"M","Medium","L","Light","D","Dark")</f>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 = 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f t="shared" si="20"/>
        <v>178.70999999999998</v>
      </c>
      <c r="N680" t="str">
        <f t="shared" si="21"/>
        <v>Arabica</v>
      </c>
      <c r="O680" t="str" cm="1">
        <f t="array" ref="O680">_xlfn.SWITCH(J680,"M","Medium","L","Light","D","Dark")</f>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 = 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f t="shared" si="20"/>
        <v>27.484999999999996</v>
      </c>
      <c r="N681" t="str">
        <f t="shared" si="21"/>
        <v>Robusta</v>
      </c>
      <c r="O681" t="str" cm="1">
        <f t="array" ref="O681">_xlfn.SWITCH(J681,"M","Medium","L","Light","D","Dark")</f>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 = 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f t="shared" si="20"/>
        <v>56.25</v>
      </c>
      <c r="N682" t="str">
        <f t="shared" si="21"/>
        <v>Arabica</v>
      </c>
      <c r="O682" t="str" cm="1">
        <f t="array" ref="O682">_xlfn.SWITCH(J682,"M","Medium","L","Light","D","Dark")</f>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 = 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f t="shared" si="20"/>
        <v>9.51</v>
      </c>
      <c r="N683" t="str">
        <f t="shared" si="21"/>
        <v>Liberica</v>
      </c>
      <c r="O683" t="str" cm="1">
        <f t="array" ref="O683">_xlfn.SWITCH(J683,"M","Medium","L","Light","D","Dark")</f>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 = 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f t="shared" si="20"/>
        <v>8.25</v>
      </c>
      <c r="N684" t="str">
        <f t="shared" si="21"/>
        <v>Excelsa</v>
      </c>
      <c r="O684" t="str" cm="1">
        <f t="array" ref="O684">_xlfn.SWITCH(J684,"M","Medium","L","Light","D","Dark")</f>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 = 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f t="shared" si="20"/>
        <v>46.62</v>
      </c>
      <c r="N685" t="str">
        <f t="shared" si="21"/>
        <v>Liberica</v>
      </c>
      <c r="O685" t="str" cm="1">
        <f t="array" ref="O685">_xlfn.SWITCH(J685,"M","Medium","L","Light","D","Dark")</f>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 = 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f t="shared" si="20"/>
        <v>71.699999999999989</v>
      </c>
      <c r="N686" t="str">
        <f t="shared" si="21"/>
        <v>Robusta</v>
      </c>
      <c r="O686" t="str" cm="1">
        <f t="array" ref="O686">_xlfn.SWITCH(J686,"M","Medium","L","Light","D","Dark")</f>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 = 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f t="shared" si="20"/>
        <v>72.91</v>
      </c>
      <c r="N687" t="str">
        <f t="shared" si="21"/>
        <v>Liberica</v>
      </c>
      <c r="O687" t="str" cm="1">
        <f t="array" ref="O687">_xlfn.SWITCH(J687,"M","Medium","L","Light","D","Dark")</f>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 = 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f t="shared" si="20"/>
        <v>8.0549999999999997</v>
      </c>
      <c r="N688" t="str">
        <f t="shared" si="21"/>
        <v>Robusta</v>
      </c>
      <c r="O688" t="str" cm="1">
        <f t="array" ref="O688">_xlfn.SWITCH(J688,"M","Medium","L","Light","D","Dark")</f>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 = 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f t="shared" si="20"/>
        <v>16.5</v>
      </c>
      <c r="N689" t="str">
        <f t="shared" si="21"/>
        <v>Excelsa</v>
      </c>
      <c r="O689" t="str" cm="1">
        <f t="array" ref="O689">_xlfn.SWITCH(J689,"M","Medium","L","Light","D","Dark")</f>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 = 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f t="shared" si="20"/>
        <v>64.75</v>
      </c>
      <c r="N690" t="str">
        <f t="shared" si="21"/>
        <v>Arabica</v>
      </c>
      <c r="O690" t="str" cm="1">
        <f t="array" ref="O690">_xlfn.SWITCH(J690,"M","Medium","L","Light","D","Dark")</f>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 = 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f t="shared" si="20"/>
        <v>33.75</v>
      </c>
      <c r="N691" t="str">
        <f t="shared" si="21"/>
        <v>Arabica</v>
      </c>
      <c r="O691" t="str" cm="1">
        <f t="array" ref="O691">_xlfn.SWITCH(J691,"M","Medium","L","Light","D","Dark")</f>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 = 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f t="shared" si="20"/>
        <v>178.70999999999998</v>
      </c>
      <c r="N692" t="str">
        <f t="shared" si="21"/>
        <v>Liberica</v>
      </c>
      <c r="O692" t="str" cm="1">
        <f t="array" ref="O692">_xlfn.SWITCH(J692,"M","Medium","L","Light","D","Dark")</f>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 = 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f t="shared" si="20"/>
        <v>22.5</v>
      </c>
      <c r="N693" t="str">
        <f t="shared" si="21"/>
        <v>Arabica</v>
      </c>
      <c r="O693" t="str" cm="1">
        <f t="array" ref="O693">_xlfn.SWITCH(J693,"M","Medium","L","Light","D","Dark")</f>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 = 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f t="shared" si="20"/>
        <v>12.95</v>
      </c>
      <c r="N694" t="str">
        <f t="shared" si="21"/>
        <v>Liberica</v>
      </c>
      <c r="O694" t="str" cm="1">
        <f t="array" ref="O694">_xlfn.SWITCH(J694,"M","Medium","L","Light","D","Dark")</f>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 = 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f t="shared" si="20"/>
        <v>51.749999999999993</v>
      </c>
      <c r="N695" t="str">
        <f t="shared" si="21"/>
        <v>Arabica</v>
      </c>
      <c r="O695" t="str" cm="1">
        <f t="array" ref="O695">_xlfn.SWITCH(J695,"M","Medium","L","Light","D","Dark")</f>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 = 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f t="shared" si="20"/>
        <v>36.450000000000003</v>
      </c>
      <c r="N696" t="str">
        <f t="shared" si="21"/>
        <v>Excelsa</v>
      </c>
      <c r="O696" t="str" cm="1">
        <f t="array" ref="O696">_xlfn.SWITCH(J696,"M","Medium","L","Light","D","Dark")</f>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 = 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f t="shared" si="20"/>
        <v>182.27499999999998</v>
      </c>
      <c r="N697" t="str">
        <f t="shared" si="21"/>
        <v>Liberica</v>
      </c>
      <c r="O697" t="str" cm="1">
        <f t="array" ref="O697">_xlfn.SWITCH(J697,"M","Medium","L","Light","D","Dark")</f>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 = 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f t="shared" si="20"/>
        <v>31.08</v>
      </c>
      <c r="N698" t="str">
        <f t="shared" si="21"/>
        <v>Liberica</v>
      </c>
      <c r="O698" t="str" cm="1">
        <f t="array" ref="O698">_xlfn.SWITCH(J698,"M","Medium","L","Light","D","Dark")</f>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 = 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f t="shared" si="20"/>
        <v>20.25</v>
      </c>
      <c r="N699" t="str">
        <f t="shared" si="21"/>
        <v>Arabica</v>
      </c>
      <c r="O699" t="str" cm="1">
        <f t="array" ref="O699">_xlfn.SWITCH(J699,"M","Medium","L","Light","D","Dark")</f>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 = 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f t="shared" si="20"/>
        <v>25.9</v>
      </c>
      <c r="N700" t="str">
        <f t="shared" si="21"/>
        <v>Liberica</v>
      </c>
      <c r="O700" t="str" cm="1">
        <f t="array" ref="O700">_xlfn.SWITCH(J700,"M","Medium","L","Light","D","Dark")</f>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 = 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f t="shared" si="20"/>
        <v>23.88</v>
      </c>
      <c r="N701" t="str">
        <f t="shared" si="21"/>
        <v>Arabica</v>
      </c>
      <c r="O701" t="str" cm="1">
        <f t="array" ref="O701">_xlfn.SWITCH(J701,"M","Medium","L","Light","D","Dark")</f>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 = 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f t="shared" si="20"/>
        <v>19.02</v>
      </c>
      <c r="N702" t="str">
        <f t="shared" si="21"/>
        <v>Liberica</v>
      </c>
      <c r="O702" t="str" cm="1">
        <f t="array" ref="O702">_xlfn.SWITCH(J702,"M","Medium","L","Light","D","Dark")</f>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 = 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f t="shared" si="20"/>
        <v>29.849999999999998</v>
      </c>
      <c r="N703" t="str">
        <f t="shared" si="21"/>
        <v>Arabica</v>
      </c>
      <c r="O703" t="str" cm="1">
        <f t="array" ref="O703">_xlfn.SWITCH(J703,"M","Medium","L","Light","D","Dark")</f>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 = 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f t="shared" si="20"/>
        <v>7.77</v>
      </c>
      <c r="N704" t="str">
        <f t="shared" si="21"/>
        <v>Arabica</v>
      </c>
      <c r="O704" t="str" cm="1">
        <f t="array" ref="O704">_xlfn.SWITCH(J704,"M","Medium","L","Light","D","Dark")</f>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 = 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f t="shared" si="20"/>
        <v>119.13999999999999</v>
      </c>
      <c r="N705" t="str">
        <f t="shared" si="21"/>
        <v>Liberica</v>
      </c>
      <c r="O705" t="str" cm="1">
        <f t="array" ref="O705">_xlfn.SWITCH(J705,"M","Medium","L","Light","D","Dark")</f>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 = 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f t="shared" si="20"/>
        <v>21.87</v>
      </c>
      <c r="N706" t="str">
        <f t="shared" si="21"/>
        <v>Excelsa</v>
      </c>
      <c r="O706" t="str" cm="1">
        <f t="array" ref="O706">_xlfn.SWITCH(J706,"M","Medium","L","Light","D","Dark")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 = 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f t="shared" ref="M707:M770" si="22">L707*E707</f>
        <v>17.82</v>
      </c>
      <c r="N707" t="str">
        <f t="shared" ref="N707:N770" si="23">IF(I707="Rob","Robusta",IF(I707="Exc","Excelsa",IF(I707="Ara","Arabica",IF(I707="Lib","Liberica",""))))</f>
        <v>Excelsa</v>
      </c>
      <c r="O707" t="str" cm="1">
        <f t="array" ref="O707">_xlfn.SWITCH(J707,"M","Medium","L","Light","D","Dark")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 = 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f t="shared" si="22"/>
        <v>12.375</v>
      </c>
      <c r="N708" t="str">
        <f t="shared" si="23"/>
        <v>Excelsa</v>
      </c>
      <c r="O708" t="str" cm="1">
        <f t="array" ref="O708">_xlfn.SWITCH(J708,"M","Medium","L","Light","D","Dark")</f>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 = 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f t="shared" si="22"/>
        <v>25.9</v>
      </c>
      <c r="N709" t="str">
        <f t="shared" si="23"/>
        <v>Liberica</v>
      </c>
      <c r="O709" t="str" cm="1">
        <f t="array" ref="O709">_xlfn.SWITCH(J709,"M","Medium","L","Light","D","Dark")</f>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 = 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f t="shared" si="22"/>
        <v>13.5</v>
      </c>
      <c r="N710" t="str">
        <f t="shared" si="23"/>
        <v>Arabica</v>
      </c>
      <c r="O710" t="str" cm="1">
        <f t="array" ref="O710">_xlfn.SWITCH(J710,"M","Medium","L","Light","D","Dark")</f>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 = 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f t="shared" si="22"/>
        <v>17.82</v>
      </c>
      <c r="N711" t="str">
        <f t="shared" si="23"/>
        <v>Excelsa</v>
      </c>
      <c r="O711" t="str" cm="1">
        <f t="array" ref="O711">_xlfn.SWITCH(J711,"M","Medium","L","Light","D","Dark")</f>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 = 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f t="shared" si="22"/>
        <v>24.75</v>
      </c>
      <c r="N712" t="str">
        <f t="shared" si="23"/>
        <v>Excelsa</v>
      </c>
      <c r="O712" t="str" cm="1">
        <f t="array" ref="O712">_xlfn.SWITCH(J712,"M","Medium","L","Light","D","Dark")</f>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 = 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f t="shared" si="22"/>
        <v>17.91</v>
      </c>
      <c r="N713" t="str">
        <f t="shared" si="23"/>
        <v>Robusta</v>
      </c>
      <c r="O713" t="str" cm="1">
        <f t="array" ref="O713">_xlfn.SWITCH(J713,"M","Medium","L","Light","D","Dark")</f>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 = 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f t="shared" si="22"/>
        <v>16.5</v>
      </c>
      <c r="N714" t="str">
        <f t="shared" si="23"/>
        <v>Excelsa</v>
      </c>
      <c r="O714" t="str" cm="1">
        <f t="array" ref="O714">_xlfn.SWITCH(J714,"M","Medium","L","Light","D","Dark")</f>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 = 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f t="shared" si="22"/>
        <v>2.9849999999999999</v>
      </c>
      <c r="N715" t="str">
        <f t="shared" si="23"/>
        <v>Robusta</v>
      </c>
      <c r="O715" t="str" cm="1">
        <f t="array" ref="O715">_xlfn.SWITCH(J715,"M","Medium","L","Light","D","Dark")</f>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 = 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f t="shared" si="22"/>
        <v>14.58</v>
      </c>
      <c r="N716" t="str">
        <f t="shared" si="23"/>
        <v>Excelsa</v>
      </c>
      <c r="O716" t="str" cm="1">
        <f t="array" ref="O716">_xlfn.SWITCH(J716,"M","Medium","L","Light","D","Dark")</f>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 = 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f t="shared" si="22"/>
        <v>89.1</v>
      </c>
      <c r="N717" t="str">
        <f t="shared" si="23"/>
        <v>Excelsa</v>
      </c>
      <c r="O717" t="str" cm="1">
        <f t="array" ref="O717">_xlfn.SWITCH(J717,"M","Medium","L","Light","D","Dark")</f>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 = 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f t="shared" si="22"/>
        <v>35.849999999999994</v>
      </c>
      <c r="N718" t="str">
        <f t="shared" si="23"/>
        <v>Robusta</v>
      </c>
      <c r="O718" t="str" cm="1">
        <f t="array" ref="O718">_xlfn.SWITCH(J718,"M","Medium","L","Light","D","Dark")</f>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 = 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f t="shared" si="22"/>
        <v>68.655000000000001</v>
      </c>
      <c r="N719" t="str">
        <f t="shared" si="23"/>
        <v>Arabica</v>
      </c>
      <c r="O719" t="str" cm="1">
        <f t="array" ref="O719">_xlfn.SWITCH(J719,"M","Medium","L","Light","D","Dark")</f>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 = 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f t="shared" si="22"/>
        <v>38.849999999999994</v>
      </c>
      <c r="N720" t="str">
        <f t="shared" si="23"/>
        <v>Liberica</v>
      </c>
      <c r="O720" t="str" cm="1">
        <f t="array" ref="O720">_xlfn.SWITCH(J720,"M","Medium","L","Light","D","Dark")</f>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 = 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f t="shared" si="22"/>
        <v>79.25</v>
      </c>
      <c r="N721" t="str">
        <f t="shared" si="23"/>
        <v>Liberica</v>
      </c>
      <c r="O721" t="str" cm="1">
        <f t="array" ref="O721">_xlfn.SWITCH(J721,"M","Medium","L","Light","D","Dark")</f>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 = 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f t="shared" si="22"/>
        <v>36.450000000000003</v>
      </c>
      <c r="N722" t="str">
        <f t="shared" si="23"/>
        <v>Excelsa</v>
      </c>
      <c r="O722" t="str" cm="1">
        <f t="array" ref="O722">_xlfn.SWITCH(J722,"M","Medium","L","Light","D","Dark")</f>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 = 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f t="shared" si="22"/>
        <v>8.9550000000000001</v>
      </c>
      <c r="N723" t="str">
        <f t="shared" si="23"/>
        <v>Robusta</v>
      </c>
      <c r="O723" t="str" cm="1">
        <f t="array" ref="O723">_xlfn.SWITCH(J723,"M","Medium","L","Light","D","Dark")</f>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 = 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f t="shared" si="22"/>
        <v>24.3</v>
      </c>
      <c r="N724" t="str">
        <f t="shared" si="23"/>
        <v>Excelsa</v>
      </c>
      <c r="O724" t="str" cm="1">
        <f t="array" ref="O724">_xlfn.SWITCH(J724,"M","Medium","L","Light","D","Dark")</f>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 = 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f t="shared" si="22"/>
        <v>63.249999999999993</v>
      </c>
      <c r="N725" t="str">
        <f t="shared" si="23"/>
        <v>Excelsa</v>
      </c>
      <c r="O725" t="str" cm="1">
        <f t="array" ref="O725">_xlfn.SWITCH(J725,"M","Medium","L","Light","D","Dark")</f>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 = 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f t="shared" si="22"/>
        <v>6.75</v>
      </c>
      <c r="N726" t="str">
        <f t="shared" si="23"/>
        <v>Arabica</v>
      </c>
      <c r="O726" t="str" cm="1">
        <f t="array" ref="O726">_xlfn.SWITCH(J726,"M","Medium","L","Light","D","Dark")</f>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 = 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f t="shared" si="22"/>
        <v>23.31</v>
      </c>
      <c r="N727" t="str">
        <f t="shared" si="23"/>
        <v>Arabica</v>
      </c>
      <c r="O727" t="str" cm="1">
        <f t="array" ref="O727">_xlfn.SWITCH(J727,"M","Medium","L","Light","D","Dark")</f>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 = 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f t="shared" si="22"/>
        <v>145.82</v>
      </c>
      <c r="N728" t="str">
        <f t="shared" si="23"/>
        <v>Liberica</v>
      </c>
      <c r="O728" t="str" cm="1">
        <f t="array" ref="O728">_xlfn.SWITCH(J728,"M","Medium","L","Light","D","Dark")</f>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 = 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f t="shared" si="22"/>
        <v>29.849999999999998</v>
      </c>
      <c r="N729" t="str">
        <f t="shared" si="23"/>
        <v>Robusta</v>
      </c>
      <c r="O729" t="str" cm="1">
        <f t="array" ref="O729">_xlfn.SWITCH(J729,"M","Medium","L","Light","D","Dark")</f>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 = 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f t="shared" si="22"/>
        <v>21.87</v>
      </c>
      <c r="N730" t="str">
        <f t="shared" si="23"/>
        <v>Excelsa</v>
      </c>
      <c r="O730" t="str" cm="1">
        <f t="array" ref="O730">_xlfn.SWITCH(J730,"M","Medium","L","Light","D","Dark")</f>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 = 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f t="shared" si="22"/>
        <v>4.3650000000000002</v>
      </c>
      <c r="N731" t="str">
        <f t="shared" si="23"/>
        <v>Liberica</v>
      </c>
      <c r="O731" t="str" cm="1">
        <f t="array" ref="O731">_xlfn.SWITCH(J731,"M","Medium","L","Light","D","Dark")</f>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 = 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f t="shared" si="22"/>
        <v>36.454999999999998</v>
      </c>
      <c r="N732" t="str">
        <f t="shared" si="23"/>
        <v>Liberica</v>
      </c>
      <c r="O732" t="str" cm="1">
        <f t="array" ref="O732">_xlfn.SWITCH(J732,"M","Medium","L","Light","D","Dark")</f>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 = 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f t="shared" si="22"/>
        <v>15.54</v>
      </c>
      <c r="N733" t="str">
        <f t="shared" si="23"/>
        <v>Liberica</v>
      </c>
      <c r="O733" t="str" cm="1">
        <f t="array" ref="O733">_xlfn.SWITCH(J733,"M","Medium","L","Light","D","Dark")</f>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 = 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f t="shared" si="22"/>
        <v>8.91</v>
      </c>
      <c r="N734" t="str">
        <f t="shared" si="23"/>
        <v>Excelsa</v>
      </c>
      <c r="O734" t="str" cm="1">
        <f t="array" ref="O734">_xlfn.SWITCH(J734,"M","Medium","L","Light","D","Dark")</f>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 = 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f t="shared" si="22"/>
        <v>100.39499999999998</v>
      </c>
      <c r="N735" t="str">
        <f t="shared" si="23"/>
        <v>Liberica</v>
      </c>
      <c r="O735" t="str" cm="1">
        <f t="array" ref="O735">_xlfn.SWITCH(J735,"M","Medium","L","Light","D","Dark")</f>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 = 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f t="shared" si="22"/>
        <v>13.424999999999997</v>
      </c>
      <c r="N736" t="str">
        <f t="shared" si="23"/>
        <v>Robusta</v>
      </c>
      <c r="O736" t="str" cm="1">
        <f t="array" ref="O736">_xlfn.SWITCH(J736,"M","Medium","L","Light","D","Dark")</f>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 = 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f t="shared" si="22"/>
        <v>21.87</v>
      </c>
      <c r="N737" t="str">
        <f t="shared" si="23"/>
        <v>Excelsa</v>
      </c>
      <c r="O737" t="str" cm="1">
        <f t="array" ref="O737">_xlfn.SWITCH(J737,"M","Medium","L","Light","D","Dark")</f>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 = 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f t="shared" si="22"/>
        <v>25.9</v>
      </c>
      <c r="N738" t="str">
        <f t="shared" si="23"/>
        <v>Liberica</v>
      </c>
      <c r="O738" t="str" cm="1">
        <f t="array" ref="O738">_xlfn.SWITCH(J738,"M","Medium","L","Light","D","Dark")</f>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 = 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f t="shared" si="22"/>
        <v>56.25</v>
      </c>
      <c r="N739" t="str">
        <f t="shared" si="23"/>
        <v>Arabica</v>
      </c>
      <c r="O739" t="str" cm="1">
        <f t="array" ref="O739">_xlfn.SWITCH(J739,"M","Medium","L","Light","D","Dark")</f>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 = 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f t="shared" si="22"/>
        <v>10.754999999999999</v>
      </c>
      <c r="N740" t="str">
        <f t="shared" si="23"/>
        <v>Robusta</v>
      </c>
      <c r="O740" t="str" cm="1">
        <f t="array" ref="O740">_xlfn.SWITCH(J740,"M","Medium","L","Light","D","Dark")</f>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 = 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f t="shared" si="22"/>
        <v>18.225000000000001</v>
      </c>
      <c r="N741" t="str">
        <f t="shared" si="23"/>
        <v>Excelsa</v>
      </c>
      <c r="O741" t="str" cm="1">
        <f t="array" ref="O741">_xlfn.SWITCH(J741,"M","Medium","L","Light","D","Dark")</f>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 = 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f t="shared" si="22"/>
        <v>28.679999999999996</v>
      </c>
      <c r="N742" t="str">
        <f t="shared" si="23"/>
        <v>Robusta</v>
      </c>
      <c r="O742" t="str" cm="1">
        <f t="array" ref="O742">_xlfn.SWITCH(J742,"M","Medium","L","Light","D","Dark")</f>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 = 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f t="shared" si="22"/>
        <v>8.73</v>
      </c>
      <c r="N743" t="str">
        <f t="shared" si="23"/>
        <v>Liberica</v>
      </c>
      <c r="O743" t="str" cm="1">
        <f t="array" ref="O743">_xlfn.SWITCH(J743,"M","Medium","L","Light","D","Dark")</f>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 = 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f t="shared" si="22"/>
        <v>58.2</v>
      </c>
      <c r="N744" t="str">
        <f t="shared" si="23"/>
        <v>Liberica</v>
      </c>
      <c r="O744" t="str" cm="1">
        <f t="array" ref="O744">_xlfn.SWITCH(J744,"M","Medium","L","Light","D","Dark")</f>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 = 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f t="shared" si="22"/>
        <v>17.91</v>
      </c>
      <c r="N745" t="str">
        <f t="shared" si="23"/>
        <v>Arabica</v>
      </c>
      <c r="O745" t="str" cm="1">
        <f t="array" ref="O745">_xlfn.SWITCH(J745,"M","Medium","L","Light","D","Dark")</f>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 = 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f t="shared" si="22"/>
        <v>17.91</v>
      </c>
      <c r="N746" t="str">
        <f t="shared" si="23"/>
        <v>Robusta</v>
      </c>
      <c r="O746" t="str" cm="1">
        <f t="array" ref="O746">_xlfn.SWITCH(J746,"M","Medium","L","Light","D","Dark")</f>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 = 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f t="shared" si="22"/>
        <v>14.58</v>
      </c>
      <c r="N747" t="str">
        <f t="shared" si="23"/>
        <v>Excelsa</v>
      </c>
      <c r="O747" t="str" cm="1">
        <f t="array" ref="O747">_xlfn.SWITCH(J747,"M","Medium","L","Light","D","Dark")</f>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 = 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f t="shared" si="22"/>
        <v>33.75</v>
      </c>
      <c r="N748" t="str">
        <f t="shared" si="23"/>
        <v>Arabica</v>
      </c>
      <c r="O748" t="str" cm="1">
        <f t="array" ref="O748">_xlfn.SWITCH(J748,"M","Medium","L","Light","D","Dark")</f>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 = 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f t="shared" si="22"/>
        <v>34.92</v>
      </c>
      <c r="N749" t="str">
        <f t="shared" si="23"/>
        <v>Liberica</v>
      </c>
      <c r="O749" t="str" cm="1">
        <f t="array" ref="O749">_xlfn.SWITCH(J749,"M","Medium","L","Light","D","Dark")</f>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 = 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f t="shared" si="22"/>
        <v>14.58</v>
      </c>
      <c r="N750" t="str">
        <f t="shared" si="23"/>
        <v>Excelsa</v>
      </c>
      <c r="O750" t="str" cm="1">
        <f t="array" ref="O750">_xlfn.SWITCH(J750,"M","Medium","L","Light","D","Dark")</f>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 = 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f t="shared" si="22"/>
        <v>5.3699999999999992</v>
      </c>
      <c r="N751" t="str">
        <f t="shared" si="23"/>
        <v>Robusta</v>
      </c>
      <c r="O751" t="str" cm="1">
        <f t="array" ref="O751">_xlfn.SWITCH(J751,"M","Medium","L","Light","D","Dark")</f>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 = 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f t="shared" si="22"/>
        <v>5.97</v>
      </c>
      <c r="N752" t="str">
        <f t="shared" si="23"/>
        <v>Robusta</v>
      </c>
      <c r="O752" t="str" cm="1">
        <f t="array" ref="O752">_xlfn.SWITCH(J752,"M","Medium","L","Light","D","Dark")</f>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 = 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f t="shared" si="22"/>
        <v>19.02</v>
      </c>
      <c r="N753" t="str">
        <f t="shared" si="23"/>
        <v>Liberica</v>
      </c>
      <c r="O753" t="str" cm="1">
        <f t="array" ref="O753">_xlfn.SWITCH(J753,"M","Medium","L","Light","D","Dark")</f>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 = 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f t="shared" si="22"/>
        <v>27.5</v>
      </c>
      <c r="N754" t="str">
        <f t="shared" si="23"/>
        <v>Excelsa</v>
      </c>
      <c r="O754" t="str" cm="1">
        <f t="array" ref="O754">_xlfn.SWITCH(J754,"M","Medium","L","Light","D","Dark")</f>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 = 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f t="shared" si="22"/>
        <v>29.849999999999998</v>
      </c>
      <c r="N755" t="str">
        <f t="shared" si="23"/>
        <v>Arabica</v>
      </c>
      <c r="O755" t="str" cm="1">
        <f t="array" ref="O755">_xlfn.SWITCH(J755,"M","Medium","L","Light","D","Dark")</f>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 = 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f t="shared" si="22"/>
        <v>17.91</v>
      </c>
      <c r="N756" t="str">
        <f t="shared" si="23"/>
        <v>Arabica</v>
      </c>
      <c r="O756" t="str" cm="1">
        <f t="array" ref="O756">_xlfn.SWITCH(J756,"M","Medium","L","Light","D","Dark")</f>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 = 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f t="shared" si="22"/>
        <v>28.53</v>
      </c>
      <c r="N757" t="str">
        <f t="shared" si="23"/>
        <v>Liberica</v>
      </c>
      <c r="O757" t="str" cm="1">
        <f t="array" ref="O757">_xlfn.SWITCH(J757,"M","Medium","L","Light","D","Dark")</f>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 = 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f t="shared" si="22"/>
        <v>35.799999999999997</v>
      </c>
      <c r="N758" t="str">
        <f t="shared" si="23"/>
        <v>Robusta</v>
      </c>
      <c r="O758" t="str" cm="1">
        <f t="array" ref="O758">_xlfn.SWITCH(J758,"M","Medium","L","Light","D","Dark")</f>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 = 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f t="shared" si="22"/>
        <v>17.91</v>
      </c>
      <c r="N759" t="str">
        <f t="shared" si="23"/>
        <v>Arabica</v>
      </c>
      <c r="O759" t="str" cm="1">
        <f t="array" ref="O759">_xlfn.SWITCH(J759,"M","Medium","L","Light","D","Dark")</f>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 = 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f t="shared" si="22"/>
        <v>8.9499999999999993</v>
      </c>
      <c r="N760" t="str">
        <f t="shared" si="23"/>
        <v>Robusta</v>
      </c>
      <c r="O760" t="str" cm="1">
        <f t="array" ref="O760">_xlfn.SWITCH(J760,"M","Medium","L","Light","D","Dark")</f>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 = 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f t="shared" si="22"/>
        <v>29.784999999999997</v>
      </c>
      <c r="N761" t="str">
        <f t="shared" si="23"/>
        <v>Liberica</v>
      </c>
      <c r="O761" t="str" cm="1">
        <f t="array" ref="O761">_xlfn.SWITCH(J761,"M","Medium","L","Light","D","Dark")</f>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 = 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f t="shared" si="22"/>
        <v>44.55</v>
      </c>
      <c r="N762" t="str">
        <f t="shared" si="23"/>
        <v>Excelsa</v>
      </c>
      <c r="O762" t="str" cm="1">
        <f t="array" ref="O762">_xlfn.SWITCH(J762,"M","Medium","L","Light","D","Dark")</f>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 = 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f t="shared" si="22"/>
        <v>89.1</v>
      </c>
      <c r="N763" t="str">
        <f t="shared" si="23"/>
        <v>Excelsa</v>
      </c>
      <c r="O763" t="str" cm="1">
        <f t="array" ref="O763">_xlfn.SWITCH(J763,"M","Medium","L","Light","D","Dark")</f>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 = 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f t="shared" si="22"/>
        <v>43.650000000000006</v>
      </c>
      <c r="N764" t="str">
        <f t="shared" si="23"/>
        <v>Liberica</v>
      </c>
      <c r="O764" t="str" cm="1">
        <f t="array" ref="O764">_xlfn.SWITCH(J764,"M","Medium","L","Light","D","Dark")</f>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 = 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f t="shared" si="22"/>
        <v>23.31</v>
      </c>
      <c r="N765" t="str">
        <f t="shared" si="23"/>
        <v>Arabica</v>
      </c>
      <c r="O765" t="str" cm="1">
        <f t="array" ref="O765">_xlfn.SWITCH(J765,"M","Medium","L","Light","D","Dark")</f>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 = 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f t="shared" si="22"/>
        <v>178.70999999999998</v>
      </c>
      <c r="N766" t="str">
        <f t="shared" si="23"/>
        <v>Arabica</v>
      </c>
      <c r="O766" t="str" cm="1">
        <f t="array" ref="O766">_xlfn.SWITCH(J766,"M","Medium","L","Light","D","Dark")</f>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 = 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f t="shared" si="22"/>
        <v>59.699999999999996</v>
      </c>
      <c r="N767" t="str">
        <f t="shared" si="23"/>
        <v>Robusta</v>
      </c>
      <c r="O767" t="str" cm="1">
        <f t="array" ref="O767">_xlfn.SWITCH(J767,"M","Medium","L","Light","D","Dark")</f>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 = 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f t="shared" si="22"/>
        <v>15.54</v>
      </c>
      <c r="N768" t="str">
        <f t="shared" si="23"/>
        <v>Arabica</v>
      </c>
      <c r="O768" t="str" cm="1">
        <f t="array" ref="O768">_xlfn.SWITCH(J768,"M","Medium","L","Light","D","Dark")</f>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 = 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f t="shared" si="22"/>
        <v>89.35499999999999</v>
      </c>
      <c r="N769" t="str">
        <f t="shared" si="23"/>
        <v>Arabica</v>
      </c>
      <c r="O769" t="str" cm="1">
        <f t="array" ref="O769">_xlfn.SWITCH(J769,"M","Medium","L","Light","D","Dark")</f>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 = 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f t="shared" si="22"/>
        <v>23.9</v>
      </c>
      <c r="N770" t="str">
        <f t="shared" si="23"/>
        <v>Robusta</v>
      </c>
      <c r="O770" t="str" cm="1">
        <f t="array" ref="O770">_xlfn.SWITCH(J770,"M","Medium","L","Light","D","Dark")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 = 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f t="shared" ref="M771:M834" si="24">L771*E771</f>
        <v>137.31</v>
      </c>
      <c r="N771" t="str">
        <f t="shared" ref="N771:N834" si="25">IF(I771="Rob","Robusta",IF(I771="Exc","Excelsa",IF(I771="Ara","Arabica",IF(I771="Lib","Liberica",""))))</f>
        <v>Robusta</v>
      </c>
      <c r="O771" t="str" cm="1">
        <f t="array" ref="O771">_xlfn.SWITCH(J771,"M","Medium","L","Light","D","Dark")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 = 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f t="shared" si="24"/>
        <v>9.9499999999999993</v>
      </c>
      <c r="N772" t="str">
        <f t="shared" si="25"/>
        <v>Arabica</v>
      </c>
      <c r="O772" t="str" cm="1">
        <f t="array" ref="O772">_xlfn.SWITCH(J772,"M","Medium","L","Light","D","Dark")</f>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 = 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f t="shared" si="24"/>
        <v>21.509999999999998</v>
      </c>
      <c r="N773" t="str">
        <f t="shared" si="25"/>
        <v>Robusta</v>
      </c>
      <c r="O773" t="str" cm="1">
        <f t="array" ref="O773">_xlfn.SWITCH(J773,"M","Medium","L","Light","D","Dark")</f>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 = 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f t="shared" si="24"/>
        <v>82.5</v>
      </c>
      <c r="N774" t="str">
        <f t="shared" si="25"/>
        <v>Excelsa</v>
      </c>
      <c r="O774" t="str" cm="1">
        <f t="array" ref="O774">_xlfn.SWITCH(J774,"M","Medium","L","Light","D","Dark")</f>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 = 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f t="shared" si="24"/>
        <v>8.73</v>
      </c>
      <c r="N775" t="str">
        <f t="shared" si="25"/>
        <v>Liberica</v>
      </c>
      <c r="O775" t="str" cm="1">
        <f t="array" ref="O775">_xlfn.SWITCH(J775,"M","Medium","L","Light","D","Dark")</f>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 = 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f t="shared" si="24"/>
        <v>19.899999999999999</v>
      </c>
      <c r="N776" t="str">
        <f t="shared" si="25"/>
        <v>Robusta</v>
      </c>
      <c r="O776" t="str" cm="1">
        <f t="array" ref="O776">_xlfn.SWITCH(J776,"M","Medium","L","Light","D","Dark")</f>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 = 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f t="shared" si="24"/>
        <v>17.82</v>
      </c>
      <c r="N777" t="str">
        <f t="shared" si="25"/>
        <v>Excelsa</v>
      </c>
      <c r="O777" t="str" cm="1">
        <f t="array" ref="O777">_xlfn.SWITCH(J777,"M","Medium","L","Light","D","Dark")</f>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 = 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f t="shared" si="24"/>
        <v>20.25</v>
      </c>
      <c r="N778" t="str">
        <f t="shared" si="25"/>
        <v>Arabica</v>
      </c>
      <c r="O778" t="str" cm="1">
        <f t="array" ref="O778">_xlfn.SWITCH(J778,"M","Medium","L","Light","D","Dark")</f>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 = 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f t="shared" si="24"/>
        <v>59.569999999999993</v>
      </c>
      <c r="N779" t="str">
        <f t="shared" si="25"/>
        <v>Arabica</v>
      </c>
      <c r="O779" t="str" cm="1">
        <f t="array" ref="O779">_xlfn.SWITCH(J779,"M","Medium","L","Light","D","Dark")</f>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 = 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f t="shared" si="24"/>
        <v>19.02</v>
      </c>
      <c r="N780" t="str">
        <f t="shared" si="25"/>
        <v>Liberica</v>
      </c>
      <c r="O780" t="str" cm="1">
        <f t="array" ref="O780">_xlfn.SWITCH(J780,"M","Medium","L","Light","D","Dark")</f>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 = 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f t="shared" si="24"/>
        <v>77.699999999999989</v>
      </c>
      <c r="N781" t="str">
        <f t="shared" si="25"/>
        <v>Liberica</v>
      </c>
      <c r="O781" t="str" cm="1">
        <f t="array" ref="O781">_xlfn.SWITCH(J781,"M","Medium","L","Light","D","Dark")</f>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 = 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f t="shared" si="24"/>
        <v>41.25</v>
      </c>
      <c r="N782" t="str">
        <f t="shared" si="25"/>
        <v>Excelsa</v>
      </c>
      <c r="O782" t="str" cm="1">
        <f t="array" ref="O782">_xlfn.SWITCH(J782,"M","Medium","L","Light","D","Dark")</f>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 = 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f t="shared" si="24"/>
        <v>145.82</v>
      </c>
      <c r="N783" t="str">
        <f t="shared" si="25"/>
        <v>Liberica</v>
      </c>
      <c r="O783" t="str" cm="1">
        <f t="array" ref="O783">_xlfn.SWITCH(J783,"M","Medium","L","Light","D","Dark")</f>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 = 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f t="shared" si="24"/>
        <v>26.73</v>
      </c>
      <c r="N784" t="str">
        <f t="shared" si="25"/>
        <v>Excelsa</v>
      </c>
      <c r="O784" t="str" cm="1">
        <f t="array" ref="O784">_xlfn.SWITCH(J784,"M","Medium","L","Light","D","Dark")</f>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 = 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f t="shared" si="24"/>
        <v>43.650000000000006</v>
      </c>
      <c r="N785" t="str">
        <f t="shared" si="25"/>
        <v>Liberica</v>
      </c>
      <c r="O785" t="str" cm="1">
        <f t="array" ref="O785">_xlfn.SWITCH(J785,"M","Medium","L","Light","D","Dark")</f>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 = 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f t="shared" si="24"/>
        <v>31.7</v>
      </c>
      <c r="N786" t="str">
        <f t="shared" si="25"/>
        <v>Liberica</v>
      </c>
      <c r="O786" t="str" cm="1">
        <f t="array" ref="O786">_xlfn.SWITCH(J786,"M","Medium","L","Light","D","Dark")</f>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 = 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f t="shared" si="24"/>
        <v>22.884999999999998</v>
      </c>
      <c r="N787" t="str">
        <f t="shared" si="25"/>
        <v>Arabica</v>
      </c>
      <c r="O787" t="str" cm="1">
        <f t="array" ref="O787">_xlfn.SWITCH(J787,"M","Medium","L","Light","D","Dark")</f>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 = 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f t="shared" si="24"/>
        <v>27.945</v>
      </c>
      <c r="N788" t="str">
        <f t="shared" si="25"/>
        <v>Excelsa</v>
      </c>
      <c r="O788" t="str" cm="1">
        <f t="array" ref="O788">_xlfn.SWITCH(J788,"M","Medium","L","Light","D","Dark")</f>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 = 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f t="shared" si="24"/>
        <v>82.5</v>
      </c>
      <c r="N789" t="str">
        <f t="shared" si="25"/>
        <v>Excelsa</v>
      </c>
      <c r="O789" t="str" cm="1">
        <f t="array" ref="O789">_xlfn.SWITCH(J789,"M","Medium","L","Light","D","Dark")</f>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 = 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f t="shared" si="24"/>
        <v>45.769999999999996</v>
      </c>
      <c r="N790" t="str">
        <f t="shared" si="25"/>
        <v>Robusta</v>
      </c>
      <c r="O790" t="str" cm="1">
        <f t="array" ref="O790">_xlfn.SWITCH(J790,"M","Medium","L","Light","D","Dark")</f>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 = 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f t="shared" si="24"/>
        <v>77.699999999999989</v>
      </c>
      <c r="N791" t="str">
        <f t="shared" si="25"/>
        <v>Arabica</v>
      </c>
      <c r="O791" t="str" cm="1">
        <f t="array" ref="O791">_xlfn.SWITCH(J791,"M","Medium","L","Light","D","Dark")</f>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 = 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f t="shared" si="24"/>
        <v>23.31</v>
      </c>
      <c r="N792" t="str">
        <f t="shared" si="25"/>
        <v>Arabica</v>
      </c>
      <c r="O792" t="str" cm="1">
        <f t="array" ref="O792">_xlfn.SWITCH(J792,"M","Medium","L","Light","D","Dark")</f>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 = 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f t="shared" si="24"/>
        <v>23.774999999999999</v>
      </c>
      <c r="N793" t="str">
        <f t="shared" si="25"/>
        <v>Liberica</v>
      </c>
      <c r="O793" t="str" cm="1">
        <f t="array" ref="O793">_xlfn.SWITCH(J793,"M","Medium","L","Light","D","Dark")</f>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 = 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f t="shared" si="24"/>
        <v>52.38</v>
      </c>
      <c r="N794" t="str">
        <f t="shared" si="25"/>
        <v>Liberica</v>
      </c>
      <c r="O794" t="str" cm="1">
        <f t="array" ref="O794">_xlfn.SWITCH(J794,"M","Medium","L","Light","D","Dark")</f>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 = 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f t="shared" si="24"/>
        <v>17.924999999999997</v>
      </c>
      <c r="N795" t="str">
        <f t="shared" si="25"/>
        <v>Robusta</v>
      </c>
      <c r="O795" t="str" cm="1">
        <f t="array" ref="O795">_xlfn.SWITCH(J795,"M","Medium","L","Light","D","Dark")</f>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 = 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f t="shared" si="24"/>
        <v>148.92499999999998</v>
      </c>
      <c r="N796" t="str">
        <f t="shared" si="25"/>
        <v>Arabica</v>
      </c>
      <c r="O796" t="str" cm="1">
        <f t="array" ref="O796">_xlfn.SWITCH(J796,"M","Medium","L","Light","D","Dark")</f>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 = 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f t="shared" si="24"/>
        <v>28.679999999999996</v>
      </c>
      <c r="N797" t="str">
        <f t="shared" si="25"/>
        <v>Robusta</v>
      </c>
      <c r="O797" t="str" cm="1">
        <f t="array" ref="O797">_xlfn.SWITCH(J797,"M","Medium","L","Light","D","Dark")</f>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 = 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f t="shared" si="24"/>
        <v>9.51</v>
      </c>
      <c r="N798" t="str">
        <f t="shared" si="25"/>
        <v>Liberica</v>
      </c>
      <c r="O798" t="str" cm="1">
        <f t="array" ref="O798">_xlfn.SWITCH(J798,"M","Medium","L","Light","D","Dark")</f>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 = 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f t="shared" si="24"/>
        <v>31.08</v>
      </c>
      <c r="N799" t="str">
        <f t="shared" si="25"/>
        <v>Arabica</v>
      </c>
      <c r="O799" t="str" cm="1">
        <f t="array" ref="O799">_xlfn.SWITCH(J799,"M","Medium","L","Light","D","Dark")</f>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 = 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f t="shared" si="24"/>
        <v>8.0549999999999997</v>
      </c>
      <c r="N800" t="str">
        <f t="shared" si="25"/>
        <v>Robusta</v>
      </c>
      <c r="O800" t="str" cm="1">
        <f t="array" ref="O800">_xlfn.SWITCH(J800,"M","Medium","L","Light","D","Dark")</f>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 = 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f t="shared" si="24"/>
        <v>36.450000000000003</v>
      </c>
      <c r="N801" t="str">
        <f t="shared" si="25"/>
        <v>Excelsa</v>
      </c>
      <c r="O801" t="str" cm="1">
        <f t="array" ref="O801">_xlfn.SWITCH(J801,"M","Medium","L","Light","D","Dark")</f>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 = 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f t="shared" si="24"/>
        <v>16.11</v>
      </c>
      <c r="N802" t="str">
        <f t="shared" si="25"/>
        <v>Robusta</v>
      </c>
      <c r="O802" t="str" cm="1">
        <f t="array" ref="O802">_xlfn.SWITCH(J802,"M","Medium","L","Light","D","Dark")</f>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 = 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f t="shared" si="24"/>
        <v>41.169999999999995</v>
      </c>
      <c r="N803" t="str">
        <f t="shared" si="25"/>
        <v>Robusta</v>
      </c>
      <c r="O803" t="str" cm="1">
        <f t="array" ref="O803">_xlfn.SWITCH(J803,"M","Medium","L","Light","D","Dark")</f>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 = 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f t="shared" si="24"/>
        <v>10.739999999999998</v>
      </c>
      <c r="N804" t="str">
        <f t="shared" si="25"/>
        <v>Robusta</v>
      </c>
      <c r="O804" t="str" cm="1">
        <f t="array" ref="O804">_xlfn.SWITCH(J804,"M","Medium","L","Light","D","Dark")</f>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 = 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f t="shared" si="24"/>
        <v>126.49999999999999</v>
      </c>
      <c r="N805" t="str">
        <f t="shared" si="25"/>
        <v>Excelsa</v>
      </c>
      <c r="O805" t="str" cm="1">
        <f t="array" ref="O805">_xlfn.SWITCH(J805,"M","Medium","L","Light","D","Dark")</f>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 = 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f t="shared" si="24"/>
        <v>23.9</v>
      </c>
      <c r="N806" t="str">
        <f t="shared" si="25"/>
        <v>Robusta</v>
      </c>
      <c r="O806" t="str" cm="1">
        <f t="array" ref="O806">_xlfn.SWITCH(J806,"M","Medium","L","Light","D","Dark")</f>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 = 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f t="shared" si="24"/>
        <v>5.97</v>
      </c>
      <c r="N807" t="str">
        <f t="shared" si="25"/>
        <v>Robusta</v>
      </c>
      <c r="O807" t="str" cm="1">
        <f t="array" ref="O807">_xlfn.SWITCH(J807,"M","Medium","L","Light","D","Dark")</f>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 = 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f t="shared" si="24"/>
        <v>7.77</v>
      </c>
      <c r="N808" t="str">
        <f t="shared" si="25"/>
        <v>Liberica</v>
      </c>
      <c r="O808" t="str" cm="1">
        <f t="array" ref="O808">_xlfn.SWITCH(J808,"M","Medium","L","Light","D","Dark")</f>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 = 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f t="shared" si="24"/>
        <v>23.31</v>
      </c>
      <c r="N809" t="str">
        <f t="shared" si="25"/>
        <v>Liberica</v>
      </c>
      <c r="O809" t="str" cm="1">
        <f t="array" ref="O809">_xlfn.SWITCH(J809,"M","Medium","L","Light","D","Dark")</f>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 = 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f t="shared" si="24"/>
        <v>137.42499999999998</v>
      </c>
      <c r="N810" t="str">
        <f t="shared" si="25"/>
        <v>Robusta</v>
      </c>
      <c r="O810" t="str" cm="1">
        <f t="array" ref="O810">_xlfn.SWITCH(J810,"M","Medium","L","Light","D","Dark")</f>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 = 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f t="shared" si="24"/>
        <v>8.0549999999999997</v>
      </c>
      <c r="N811" t="str">
        <f t="shared" si="25"/>
        <v>Robusta</v>
      </c>
      <c r="O811" t="str" cm="1">
        <f t="array" ref="O811">_xlfn.SWITCH(J811,"M","Medium","L","Light","D","Dark")</f>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 = 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f t="shared" si="24"/>
        <v>28.53</v>
      </c>
      <c r="N812" t="str">
        <f t="shared" si="25"/>
        <v>Liberica</v>
      </c>
      <c r="O812" t="str" cm="1">
        <f t="array" ref="O812">_xlfn.SWITCH(J812,"M","Medium","L","Light","D","Dark")</f>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 = 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f t="shared" si="24"/>
        <v>67.5</v>
      </c>
      <c r="N813" t="str">
        <f t="shared" si="25"/>
        <v>Arabica</v>
      </c>
      <c r="O813" t="str" cm="1">
        <f t="array" ref="O813">_xlfn.SWITCH(J813,"M","Medium","L","Light","D","Dark")</f>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 = 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f t="shared" si="24"/>
        <v>178.70999999999998</v>
      </c>
      <c r="N814" t="str">
        <f t="shared" si="25"/>
        <v>Liberica</v>
      </c>
      <c r="O814" t="str" cm="1">
        <f t="array" ref="O814">_xlfn.SWITCH(J814,"M","Medium","L","Light","D","Dark")</f>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 = 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f t="shared" si="24"/>
        <v>31.624999999999996</v>
      </c>
      <c r="N815" t="str">
        <f t="shared" si="25"/>
        <v>Excelsa</v>
      </c>
      <c r="O815" t="str" cm="1">
        <f t="array" ref="O815">_xlfn.SWITCH(J815,"M","Medium","L","Light","D","Dark")</f>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 = 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f t="shared" si="24"/>
        <v>8.91</v>
      </c>
      <c r="N816" t="str">
        <f t="shared" si="25"/>
        <v>Excelsa</v>
      </c>
      <c r="O816" t="str" cm="1">
        <f t="array" ref="O816">_xlfn.SWITCH(J816,"M","Medium","L","Light","D","Dark")</f>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 = 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f t="shared" si="24"/>
        <v>35.82</v>
      </c>
      <c r="N817" t="str">
        <f t="shared" si="25"/>
        <v>Robusta</v>
      </c>
      <c r="O817" t="str" cm="1">
        <f t="array" ref="O817">_xlfn.SWITCH(J817,"M","Medium","L","Light","D","Dark")</f>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 = 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f t="shared" si="24"/>
        <v>38.04</v>
      </c>
      <c r="N818" t="str">
        <f t="shared" si="25"/>
        <v>Liberica</v>
      </c>
      <c r="O818" t="str" cm="1">
        <f t="array" ref="O818">_xlfn.SWITCH(J818,"M","Medium","L","Light","D","Dark")</f>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 = 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f t="shared" si="24"/>
        <v>15.54</v>
      </c>
      <c r="N819" t="str">
        <f t="shared" si="25"/>
        <v>Liberica</v>
      </c>
      <c r="O819" t="str" cm="1">
        <f t="array" ref="O819">_xlfn.SWITCH(J819,"M","Medium","L","Light","D","Dark")</f>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 = 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f t="shared" si="24"/>
        <v>79.25</v>
      </c>
      <c r="N820" t="str">
        <f t="shared" si="25"/>
        <v>Liberica</v>
      </c>
      <c r="O820" t="str" cm="1">
        <f t="array" ref="O820">_xlfn.SWITCH(J820,"M","Medium","L","Light","D","Dark")</f>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 = 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f t="shared" si="24"/>
        <v>4.7549999999999999</v>
      </c>
      <c r="N821" t="str">
        <f t="shared" si="25"/>
        <v>Liberica</v>
      </c>
      <c r="O821" t="str" cm="1">
        <f t="array" ref="O821">_xlfn.SWITCH(J821,"M","Medium","L","Light","D","Dark")</f>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 = 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f t="shared" si="24"/>
        <v>55</v>
      </c>
      <c r="N822" t="str">
        <f t="shared" si="25"/>
        <v>Excelsa</v>
      </c>
      <c r="O822" t="str" cm="1">
        <f t="array" ref="O822">_xlfn.SWITCH(J822,"M","Medium","L","Light","D","Dark")</f>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 = 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f t="shared" si="24"/>
        <v>26.849999999999994</v>
      </c>
      <c r="N823" t="str">
        <f t="shared" si="25"/>
        <v>Robusta</v>
      </c>
      <c r="O823" t="str" cm="1">
        <f t="array" ref="O823">_xlfn.SWITCH(J823,"M","Medium","L","Light","D","Dark")</f>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 = 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f t="shared" si="24"/>
        <v>136.61999999999998</v>
      </c>
      <c r="N824" t="str">
        <f t="shared" si="25"/>
        <v>Excelsa</v>
      </c>
      <c r="O824" t="str" cm="1">
        <f t="array" ref="O824">_xlfn.SWITCH(J824,"M","Medium","L","Light","D","Dark")</f>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 = 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f t="shared" si="24"/>
        <v>47.55</v>
      </c>
      <c r="N825" t="str">
        <f t="shared" si="25"/>
        <v>Liberica</v>
      </c>
      <c r="O825" t="str" cm="1">
        <f t="array" ref="O825">_xlfn.SWITCH(J825,"M","Medium","L","Light","D","Dark")</f>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 = 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f t="shared" si="24"/>
        <v>16.875</v>
      </c>
      <c r="N826" t="str">
        <f t="shared" si="25"/>
        <v>Arabica</v>
      </c>
      <c r="O826" t="str" cm="1">
        <f t="array" ref="O826">_xlfn.SWITCH(J826,"M","Medium","L","Light","D","Dark")</f>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 = 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f t="shared" si="24"/>
        <v>29.849999999999998</v>
      </c>
      <c r="N827" t="str">
        <f t="shared" si="25"/>
        <v>Arabica</v>
      </c>
      <c r="O827" t="str" cm="1">
        <f t="array" ref="O827">_xlfn.SWITCH(J827,"M","Medium","L","Light","D","Dark")</f>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 = 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f t="shared" si="24"/>
        <v>41.25</v>
      </c>
      <c r="N828" t="str">
        <f t="shared" si="25"/>
        <v>Excelsa</v>
      </c>
      <c r="O828" t="str" cm="1">
        <f t="array" ref="O828">_xlfn.SWITCH(J828,"M","Medium","L","Light","D","Dark")</f>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 = 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f t="shared" si="24"/>
        <v>20.625</v>
      </c>
      <c r="N829" t="str">
        <f t="shared" si="25"/>
        <v>Excelsa</v>
      </c>
      <c r="O829" t="str" cm="1">
        <f t="array" ref="O829">_xlfn.SWITCH(J829,"M","Medium","L","Light","D","Dark")</f>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 = 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f t="shared" si="24"/>
        <v>137.31</v>
      </c>
      <c r="N830" t="str">
        <f t="shared" si="25"/>
        <v>Arabica</v>
      </c>
      <c r="O830" t="str" cm="1">
        <f t="array" ref="O830">_xlfn.SWITCH(J830,"M","Medium","L","Light","D","Dark")</f>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 = 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f t="shared" si="24"/>
        <v>2.9849999999999999</v>
      </c>
      <c r="N831" t="str">
        <f t="shared" si="25"/>
        <v>Arabica</v>
      </c>
      <c r="O831" t="str" cm="1">
        <f t="array" ref="O831">_xlfn.SWITCH(J831,"M","Medium","L","Light","D","Dark")</f>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 = 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f t="shared" si="24"/>
        <v>27.5</v>
      </c>
      <c r="N832" t="str">
        <f t="shared" si="25"/>
        <v>Excelsa</v>
      </c>
      <c r="O832" t="str" cm="1">
        <f t="array" ref="O832">_xlfn.SWITCH(J832,"M","Medium","L","Light","D","Dark")</f>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 = 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f t="shared" si="24"/>
        <v>5.97</v>
      </c>
      <c r="N833" t="str">
        <f t="shared" si="25"/>
        <v>Arabica</v>
      </c>
      <c r="O833" t="str" cm="1">
        <f t="array" ref="O833">_xlfn.SWITCH(J833,"M","Medium","L","Light","D","Dark")</f>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 = 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f t="shared" si="24"/>
        <v>59.699999999999996</v>
      </c>
      <c r="N834" t="str">
        <f t="shared" si="25"/>
        <v>Robusta</v>
      </c>
      <c r="O834" t="str" cm="1">
        <f t="array" ref="O834">_xlfn.SWITCH(J834,"M","Medium","L","Light","D","Dark")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 = 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f t="shared" ref="M835:M898" si="26">L835*E835</f>
        <v>82.339999999999989</v>
      </c>
      <c r="N835" t="str">
        <f t="shared" ref="N835:N898" si="27">IF(I835="Rob","Robusta",IF(I835="Exc","Excelsa",IF(I835="Ara","Arabica",IF(I835="Lib","Liberica",""))))</f>
        <v>Robusta</v>
      </c>
      <c r="O835" t="str" cm="1">
        <f t="array" ref="O835">_xlfn.SWITCH(J835,"M","Medium","L","Light","D","Dark")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 = 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f t="shared" si="26"/>
        <v>22.884999999999998</v>
      </c>
      <c r="N836" t="str">
        <f t="shared" si="27"/>
        <v>Arabica</v>
      </c>
      <c r="O836" t="str" cm="1">
        <f t="array" ref="O836">_xlfn.SWITCH(J836,"M","Medium","L","Light","D","Dark")</f>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 = 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f t="shared" si="26"/>
        <v>8.91</v>
      </c>
      <c r="N837" t="str">
        <f t="shared" si="27"/>
        <v>Excelsa</v>
      </c>
      <c r="O837" t="str" cm="1">
        <f t="array" ref="O837">_xlfn.SWITCH(J837,"M","Medium","L","Light","D","Dark")</f>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 = 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f t="shared" si="26"/>
        <v>11.94</v>
      </c>
      <c r="N838" t="str">
        <f t="shared" si="27"/>
        <v>Arabica</v>
      </c>
      <c r="O838" t="str" cm="1">
        <f t="array" ref="O838">_xlfn.SWITCH(J838,"M","Medium","L","Light","D","Dark")</f>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 = 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f t="shared" si="26"/>
        <v>100.39499999999998</v>
      </c>
      <c r="N839" t="str">
        <f t="shared" si="27"/>
        <v>Liberica</v>
      </c>
      <c r="O839" t="str" cm="1">
        <f t="array" ref="O839">_xlfn.SWITCH(J839,"M","Medium","L","Light","D","Dark")</f>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 = 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f t="shared" si="26"/>
        <v>114.42499999999998</v>
      </c>
      <c r="N840" t="str">
        <f t="shared" si="27"/>
        <v>Arabica</v>
      </c>
      <c r="O840" t="str" cm="1">
        <f t="array" ref="O840">_xlfn.SWITCH(J840,"M","Medium","L","Light","D","Dark")</f>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 = 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f t="shared" si="26"/>
        <v>41.25</v>
      </c>
      <c r="N841" t="str">
        <f t="shared" si="27"/>
        <v>Excelsa</v>
      </c>
      <c r="O841" t="str" cm="1">
        <f t="array" ref="O841">_xlfn.SWITCH(J841,"M","Medium","L","Light","D","Dark")</f>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 = 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f t="shared" si="26"/>
        <v>28.679999999999996</v>
      </c>
      <c r="N842" t="str">
        <f t="shared" si="27"/>
        <v>Robusta</v>
      </c>
      <c r="O842" t="str" cm="1">
        <f t="array" ref="O842">_xlfn.SWITCH(J842,"M","Medium","L","Light","D","Dark")</f>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 = 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f t="shared" si="26"/>
        <v>4.3650000000000002</v>
      </c>
      <c r="N843" t="str">
        <f t="shared" si="27"/>
        <v>Liberica</v>
      </c>
      <c r="O843" t="str" cm="1">
        <f t="array" ref="O843">_xlfn.SWITCH(J843,"M","Medium","L","Light","D","Dark")</f>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 = 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f t="shared" si="26"/>
        <v>8.25</v>
      </c>
      <c r="N844" t="str">
        <f t="shared" si="27"/>
        <v>Excelsa</v>
      </c>
      <c r="O844" t="str" cm="1">
        <f t="array" ref="O844">_xlfn.SWITCH(J844,"M","Medium","L","Light","D","Dark")</f>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 = 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f t="shared" si="26"/>
        <v>8.25</v>
      </c>
      <c r="N845" t="str">
        <f t="shared" si="27"/>
        <v>Excelsa</v>
      </c>
      <c r="O845" t="str" cm="1">
        <f t="array" ref="O845">_xlfn.SWITCH(J845,"M","Medium","L","Light","D","Dark")</f>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 = 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f t="shared" si="26"/>
        <v>35.82</v>
      </c>
      <c r="N846" t="str">
        <f t="shared" si="27"/>
        <v>Arabica</v>
      </c>
      <c r="O846" t="str" cm="1">
        <f t="array" ref="O846">_xlfn.SWITCH(J846,"M","Medium","L","Light","D","Dark")</f>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 = 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f t="shared" si="26"/>
        <v>167.67000000000002</v>
      </c>
      <c r="N847" t="str">
        <f t="shared" si="27"/>
        <v>Excelsa</v>
      </c>
      <c r="O847" t="str" cm="1">
        <f t="array" ref="O847">_xlfn.SWITCH(J847,"M","Medium","L","Light","D","Dark")</f>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 = 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f t="shared" si="26"/>
        <v>51.749999999999993</v>
      </c>
      <c r="N848" t="str">
        <f t="shared" si="27"/>
        <v>Arabica</v>
      </c>
      <c r="O848" t="str" cm="1">
        <f t="array" ref="O848">_xlfn.SWITCH(J848,"M","Medium","L","Light","D","Dark")</f>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 = 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f t="shared" si="26"/>
        <v>8.9550000000000001</v>
      </c>
      <c r="N849" t="str">
        <f t="shared" si="27"/>
        <v>Arabica</v>
      </c>
      <c r="O849" t="str" cm="1">
        <f t="array" ref="O849">_xlfn.SWITCH(J849,"M","Medium","L","Light","D","Dark")</f>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 = 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f t="shared" si="26"/>
        <v>53.46</v>
      </c>
      <c r="N850" t="str">
        <f t="shared" si="27"/>
        <v>Excelsa</v>
      </c>
      <c r="O850" t="str" cm="1">
        <f t="array" ref="O850">_xlfn.SWITCH(J850,"M","Medium","L","Light","D","Dark")</f>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 = 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f t="shared" si="26"/>
        <v>23.31</v>
      </c>
      <c r="N851" t="str">
        <f t="shared" si="27"/>
        <v>Arabica</v>
      </c>
      <c r="O851" t="str" cm="1">
        <f t="array" ref="O851">_xlfn.SWITCH(J851,"M","Medium","L","Light","D","Dark")</f>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 = 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f t="shared" si="26"/>
        <v>6.75</v>
      </c>
      <c r="N852" t="str">
        <f t="shared" si="27"/>
        <v>Arabica</v>
      </c>
      <c r="O852" t="str" cm="1">
        <f t="array" ref="O852">_xlfn.SWITCH(J852,"M","Medium","L","Light","D","Dark")</f>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 = 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f t="shared" si="26"/>
        <v>7.77</v>
      </c>
      <c r="N853" t="str">
        <f t="shared" si="27"/>
        <v>Liberica</v>
      </c>
      <c r="O853" t="str" cm="1">
        <f t="array" ref="O853">_xlfn.SWITCH(J853,"M","Medium","L","Light","D","Dark")</f>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 = 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f t="shared" si="26"/>
        <v>119.13999999999999</v>
      </c>
      <c r="N854" t="str">
        <f t="shared" si="27"/>
        <v>Liberica</v>
      </c>
      <c r="O854" t="str" cm="1">
        <f t="array" ref="O854">_xlfn.SWITCH(J854,"M","Medium","L","Light","D","Dark")</f>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 = 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f t="shared" si="26"/>
        <v>19.899999999999999</v>
      </c>
      <c r="N855" t="str">
        <f t="shared" si="27"/>
        <v>Arabica</v>
      </c>
      <c r="O855" t="str" cm="1">
        <f t="array" ref="O855">_xlfn.SWITCH(J855,"M","Medium","L","Light","D","Dark")</f>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 = 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f t="shared" si="26"/>
        <v>35.849999999999994</v>
      </c>
      <c r="N856" t="str">
        <f t="shared" si="27"/>
        <v>Robusta</v>
      </c>
      <c r="O856" t="str" cm="1">
        <f t="array" ref="O856">_xlfn.SWITCH(J856,"M","Medium","L","Light","D","Dark")</f>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 = 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f t="shared" si="26"/>
        <v>89.35499999999999</v>
      </c>
      <c r="N857" t="str">
        <f t="shared" si="27"/>
        <v>Liberica</v>
      </c>
      <c r="O857" t="str" cm="1">
        <f t="array" ref="O857">_xlfn.SWITCH(J857,"M","Medium","L","Light","D","Dark")</f>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 = 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f t="shared" si="26"/>
        <v>8.73</v>
      </c>
      <c r="N858" t="str">
        <f t="shared" si="27"/>
        <v>Liberica</v>
      </c>
      <c r="O858" t="str" cm="1">
        <f t="array" ref="O858">_xlfn.SWITCH(J858,"M","Medium","L","Light","D","Dark")</f>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 = 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f t="shared" si="26"/>
        <v>137.42499999999998</v>
      </c>
      <c r="N859" t="str">
        <f t="shared" si="27"/>
        <v>Robusta</v>
      </c>
      <c r="O859" t="str" cm="1">
        <f t="array" ref="O859">_xlfn.SWITCH(J859,"M","Medium","L","Light","D","Dark")</f>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 = 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f t="shared" si="26"/>
        <v>34.92</v>
      </c>
      <c r="N860" t="str">
        <f t="shared" si="27"/>
        <v>Liberica</v>
      </c>
      <c r="O860" t="str" cm="1">
        <f t="array" ref="O860">_xlfn.SWITCH(J860,"M","Medium","L","Light","D","Dark")</f>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 = 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f t="shared" si="26"/>
        <v>178.70999999999998</v>
      </c>
      <c r="N861" t="str">
        <f t="shared" si="27"/>
        <v>Arabica</v>
      </c>
      <c r="O861" t="str" cm="1">
        <f t="array" ref="O861">_xlfn.SWITCH(J861,"M","Medium","L","Light","D","Dark")</f>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 = 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f t="shared" si="26"/>
        <v>25.874999999999996</v>
      </c>
      <c r="N862" t="str">
        <f t="shared" si="27"/>
        <v>Arabica</v>
      </c>
      <c r="O862" t="str" cm="1">
        <f t="array" ref="O862">_xlfn.SWITCH(J862,"M","Medium","L","Light","D","Dark")</f>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 = 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f t="shared" si="26"/>
        <v>77.699999999999989</v>
      </c>
      <c r="N863" t="str">
        <f t="shared" si="27"/>
        <v>Liberica</v>
      </c>
      <c r="O863" t="str" cm="1">
        <f t="array" ref="O863">_xlfn.SWITCH(J863,"M","Medium","L","Light","D","Dark")</f>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 = 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f t="shared" si="26"/>
        <v>9.9499999999999993</v>
      </c>
      <c r="N864" t="str">
        <f t="shared" si="27"/>
        <v>Robusta</v>
      </c>
      <c r="O864" t="str" cm="1">
        <f t="array" ref="O864">_xlfn.SWITCH(J864,"M","Medium","L","Light","D","Dark")</f>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 = 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f t="shared" si="26"/>
        <v>29.1</v>
      </c>
      <c r="N865" t="str">
        <f t="shared" si="27"/>
        <v>Liberica</v>
      </c>
      <c r="O865" t="str" cm="1">
        <f t="array" ref="O865">_xlfn.SWITCH(J865,"M","Medium","L","Light","D","Dark")</f>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 = 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f t="shared" si="26"/>
        <v>21.509999999999998</v>
      </c>
      <c r="N866" t="str">
        <f t="shared" si="27"/>
        <v>Robusta</v>
      </c>
      <c r="O866" t="str" cm="1">
        <f t="array" ref="O866">_xlfn.SWITCH(J866,"M","Medium","L","Light","D","Dark")</f>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 = 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f t="shared" si="26"/>
        <v>6.75</v>
      </c>
      <c r="N867" t="str">
        <f t="shared" si="27"/>
        <v>Arabica</v>
      </c>
      <c r="O867" t="str" cm="1">
        <f t="array" ref="O867">_xlfn.SWITCH(J867,"M","Medium","L","Light","D","Dark")</f>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 = 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f t="shared" si="26"/>
        <v>17.91</v>
      </c>
      <c r="N868" t="str">
        <f t="shared" si="27"/>
        <v>Arabica</v>
      </c>
      <c r="O868" t="str" cm="1">
        <f t="array" ref="O868">_xlfn.SWITCH(J868,"M","Medium","L","Light","D","Dark")</f>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 = 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f t="shared" si="26"/>
        <v>29.784999999999997</v>
      </c>
      <c r="N869" t="str">
        <f t="shared" si="27"/>
        <v>Arabica</v>
      </c>
      <c r="O869" t="str" cm="1">
        <f t="array" ref="O869">_xlfn.SWITCH(J869,"M","Medium","L","Light","D","Dark")</f>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 = 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f t="shared" si="26"/>
        <v>41.25</v>
      </c>
      <c r="N870" t="str">
        <f t="shared" si="27"/>
        <v>Excelsa</v>
      </c>
      <c r="O870" t="str" cm="1">
        <f t="array" ref="O870">_xlfn.SWITCH(J870,"M","Medium","L","Light","D","Dark")</f>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 = 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f t="shared" si="26"/>
        <v>17.91</v>
      </c>
      <c r="N871" t="str">
        <f t="shared" si="27"/>
        <v>Robusta</v>
      </c>
      <c r="O871" t="str" cm="1">
        <f t="array" ref="O871">_xlfn.SWITCH(J871,"M","Medium","L","Light","D","Dark")</f>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 = 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f t="shared" si="26"/>
        <v>7.29</v>
      </c>
      <c r="N872" t="str">
        <f t="shared" si="27"/>
        <v>Excelsa</v>
      </c>
      <c r="O872" t="str" cm="1">
        <f t="array" ref="O872">_xlfn.SWITCH(J872,"M","Medium","L","Light","D","Dark")</f>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 = 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f t="shared" si="26"/>
        <v>29.7</v>
      </c>
      <c r="N873" t="str">
        <f t="shared" si="27"/>
        <v>Excelsa</v>
      </c>
      <c r="O873" t="str" cm="1">
        <f t="array" ref="O873">_xlfn.SWITCH(J873,"M","Medium","L","Light","D","Dark")</f>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 = 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f t="shared" si="26"/>
        <v>22.5</v>
      </c>
      <c r="N874" t="str">
        <f t="shared" si="27"/>
        <v>Arabica</v>
      </c>
      <c r="O874" t="str" cm="1">
        <f t="array" ref="O874">_xlfn.SWITCH(J874,"M","Medium","L","Light","D","Dark")</f>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 = 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f t="shared" si="26"/>
        <v>11.94</v>
      </c>
      <c r="N875" t="str">
        <f t="shared" si="27"/>
        <v>Robusta</v>
      </c>
      <c r="O875" t="str" cm="1">
        <f t="array" ref="O875">_xlfn.SWITCH(J875,"M","Medium","L","Light","D","Dark")</f>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 = 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f t="shared" si="26"/>
        <v>25.9</v>
      </c>
      <c r="N876" t="str">
        <f t="shared" si="27"/>
        <v>Arabica</v>
      </c>
      <c r="O876" t="str" cm="1">
        <f t="array" ref="O876">_xlfn.SWITCH(J876,"M","Medium","L","Light","D","Dark")</f>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 = 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f t="shared" si="26"/>
        <v>43.650000000000006</v>
      </c>
      <c r="N877" t="str">
        <f t="shared" si="27"/>
        <v>Liberica</v>
      </c>
      <c r="O877" t="str" cm="1">
        <f t="array" ref="O877">_xlfn.SWITCH(J877,"M","Medium","L","Light","D","Dark")</f>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 = 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f t="shared" si="26"/>
        <v>46.62</v>
      </c>
      <c r="N878" t="str">
        <f t="shared" si="27"/>
        <v>Arabica</v>
      </c>
      <c r="O878" t="str" cm="1">
        <f t="array" ref="O878">_xlfn.SWITCH(J878,"M","Medium","L","Light","D","Dark")</f>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 = 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f t="shared" si="26"/>
        <v>28.53</v>
      </c>
      <c r="N879" t="str">
        <f t="shared" si="27"/>
        <v>Liberica</v>
      </c>
      <c r="O879" t="str" cm="1">
        <f t="array" ref="O879">_xlfn.SWITCH(J879,"M","Medium","L","Light","D","Dark")</f>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 = 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f t="shared" si="26"/>
        <v>27.484999999999996</v>
      </c>
      <c r="N880" t="str">
        <f t="shared" si="27"/>
        <v>Robusta</v>
      </c>
      <c r="O880" t="str" cm="1">
        <f t="array" ref="O880">_xlfn.SWITCH(J880,"M","Medium","L","Light","D","Dark")</f>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 = 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f t="shared" si="26"/>
        <v>10.935</v>
      </c>
      <c r="N881" t="str">
        <f t="shared" si="27"/>
        <v>Excelsa</v>
      </c>
      <c r="O881" t="str" cm="1">
        <f t="array" ref="O881">_xlfn.SWITCH(J881,"M","Medium","L","Light","D","Dark")</f>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 = 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f t="shared" si="26"/>
        <v>7.169999999999999</v>
      </c>
      <c r="N882" t="str">
        <f t="shared" si="27"/>
        <v>Robusta</v>
      </c>
      <c r="O882" t="str" cm="1">
        <f t="array" ref="O882">_xlfn.SWITCH(J882,"M","Medium","L","Light","D","Dark")</f>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 = 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f t="shared" si="26"/>
        <v>23.31</v>
      </c>
      <c r="N883" t="str">
        <f t="shared" si="27"/>
        <v>Arabica</v>
      </c>
      <c r="O883" t="str" cm="1">
        <f t="array" ref="O883">_xlfn.SWITCH(J883,"M","Medium","L","Light","D","Dark")</f>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 = 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f t="shared" si="26"/>
        <v>114.42499999999998</v>
      </c>
      <c r="N884" t="str">
        <f t="shared" si="27"/>
        <v>Arabica</v>
      </c>
      <c r="O884" t="str" cm="1">
        <f t="array" ref="O884">_xlfn.SWITCH(J884,"M","Medium","L","Light","D","Dark")</f>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 = 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f t="shared" si="26"/>
        <v>77.624999999999986</v>
      </c>
      <c r="N885" t="str">
        <f t="shared" si="27"/>
        <v>Arabica</v>
      </c>
      <c r="O885" t="str" cm="1">
        <f t="array" ref="O885">_xlfn.SWITCH(J885,"M","Medium","L","Light","D","Dark")</f>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 = 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f t="shared" si="26"/>
        <v>5.3699999999999992</v>
      </c>
      <c r="N886" t="str">
        <f t="shared" si="27"/>
        <v>Robusta</v>
      </c>
      <c r="O886" t="str" cm="1">
        <f t="array" ref="O886">_xlfn.SWITCH(J886,"M","Medium","L","Light","D","Dark")</f>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 = 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f t="shared" si="26"/>
        <v>123.50999999999999</v>
      </c>
      <c r="N887" t="str">
        <f t="shared" si="27"/>
        <v>Robusta</v>
      </c>
      <c r="O887" t="str" cm="1">
        <f t="array" ref="O887">_xlfn.SWITCH(J887,"M","Medium","L","Light","D","Dark")</f>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 = 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f t="shared" si="26"/>
        <v>17.46</v>
      </c>
      <c r="N888" t="str">
        <f t="shared" si="27"/>
        <v>Liberica</v>
      </c>
      <c r="O888" t="str" cm="1">
        <f t="array" ref="O888">_xlfn.SWITCH(J888,"M","Medium","L","Light","D","Dark")</f>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 = 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f t="shared" si="26"/>
        <v>13.365</v>
      </c>
      <c r="N889" t="str">
        <f t="shared" si="27"/>
        <v>Excelsa</v>
      </c>
      <c r="O889" t="str" cm="1">
        <f t="array" ref="O889">_xlfn.SWITCH(J889,"M","Medium","L","Light","D","Dark")</f>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 = 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f t="shared" si="26"/>
        <v>7.77</v>
      </c>
      <c r="N890" t="str">
        <f t="shared" si="27"/>
        <v>Arabica</v>
      </c>
      <c r="O890" t="str" cm="1">
        <f t="array" ref="O890">_xlfn.SWITCH(J890,"M","Medium","L","Light","D","Dark")</f>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 = 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f t="shared" si="26"/>
        <v>2.6849999999999996</v>
      </c>
      <c r="N891" t="str">
        <f t="shared" si="27"/>
        <v>Robusta</v>
      </c>
      <c r="O891" t="str" cm="1">
        <f t="array" ref="O891">_xlfn.SWITCH(J891,"M","Medium","L","Light","D","Dark")</f>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 = 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f t="shared" si="26"/>
        <v>20.584999999999997</v>
      </c>
      <c r="N892" t="str">
        <f t="shared" si="27"/>
        <v>Robusta</v>
      </c>
      <c r="O892" t="str" cm="1">
        <f t="array" ref="O892">_xlfn.SWITCH(J892,"M","Medium","L","Light","D","Dark")</f>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 = 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f t="shared" si="26"/>
        <v>114.42499999999998</v>
      </c>
      <c r="N893" t="str">
        <f t="shared" si="27"/>
        <v>Arabica</v>
      </c>
      <c r="O893" t="str" cm="1">
        <f t="array" ref="O893">_xlfn.SWITCH(J893,"M","Medium","L","Light","D","Dark")</f>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 = 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f t="shared" si="26"/>
        <v>20.625</v>
      </c>
      <c r="N894" t="str">
        <f t="shared" si="27"/>
        <v>Excelsa</v>
      </c>
      <c r="O894" t="str" cm="1">
        <f t="array" ref="O894">_xlfn.SWITCH(J894,"M","Medium","L","Light","D","Dark")</f>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 = 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f t="shared" si="26"/>
        <v>57.06</v>
      </c>
      <c r="N895" t="str">
        <f t="shared" si="27"/>
        <v>Liberica</v>
      </c>
      <c r="O895" t="str" cm="1">
        <f t="array" ref="O895">_xlfn.SWITCH(J895,"M","Medium","L","Light","D","Dark")</f>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 = 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f t="shared" si="26"/>
        <v>82.339999999999989</v>
      </c>
      <c r="N896" t="str">
        <f t="shared" si="27"/>
        <v>Robusta</v>
      </c>
      <c r="O896" t="str" cm="1">
        <f t="array" ref="O896">_xlfn.SWITCH(J896,"M","Medium","L","Light","D","Dark")</f>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 = 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f t="shared" si="26"/>
        <v>158.12499999999997</v>
      </c>
      <c r="N897" t="str">
        <f t="shared" si="27"/>
        <v>Excelsa</v>
      </c>
      <c r="O897" t="str" cm="1">
        <f t="array" ref="O897">_xlfn.SWITCH(J897,"M","Medium","L","Light","D","Dark")</f>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 = 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f t="shared" si="26"/>
        <v>32.22</v>
      </c>
      <c r="N898" t="str">
        <f t="shared" si="27"/>
        <v>Robusta</v>
      </c>
      <c r="O898" t="str" cm="1">
        <f t="array" ref="O898">_xlfn.SWITCH(J898,"M","Medium","L","Light","D","Dark")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 = 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f t="shared" ref="M899:M962" si="28">L899*E899</f>
        <v>24.3</v>
      </c>
      <c r="N899" t="str">
        <f t="shared" ref="N899:N962" si="29">IF(I899="Rob","Robusta",IF(I899="Exc","Excelsa",IF(I899="Ara","Arabica",IF(I899="Lib","Liberica",""))))</f>
        <v>Excelsa</v>
      </c>
      <c r="O899" t="str" cm="1">
        <f t="array" ref="O899">_xlfn.SWITCH(J899,"M","Medium","L","Light","D","Dark")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 = 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f t="shared" si="28"/>
        <v>35.849999999999994</v>
      </c>
      <c r="N900" t="str">
        <f t="shared" si="29"/>
        <v>Robusta</v>
      </c>
      <c r="O900" t="str" cm="1">
        <f t="array" ref="O900">_xlfn.SWITCH(J900,"M","Medium","L","Light","D","Dark")</f>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 = 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f t="shared" si="28"/>
        <v>72.75</v>
      </c>
      <c r="N901" t="str">
        <f t="shared" si="29"/>
        <v>Liberica</v>
      </c>
      <c r="O901" t="str" cm="1">
        <f t="array" ref="O901">_xlfn.SWITCH(J901,"M","Medium","L","Light","D","Dark")</f>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 = 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f t="shared" si="28"/>
        <v>47.55</v>
      </c>
      <c r="N902" t="str">
        <f t="shared" si="29"/>
        <v>Liberica</v>
      </c>
      <c r="O902" t="str" cm="1">
        <f t="array" ref="O902">_xlfn.SWITCH(J902,"M","Medium","L","Light","D","Dark")</f>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 = 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f t="shared" si="28"/>
        <v>3.5849999999999995</v>
      </c>
      <c r="N903" t="str">
        <f t="shared" si="29"/>
        <v>Robusta</v>
      </c>
      <c r="O903" t="str" cm="1">
        <f t="array" ref="O903">_xlfn.SWITCH(J903,"M","Medium","L","Light","D","Dark")</f>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 = 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f t="shared" si="28"/>
        <v>158.12499999999997</v>
      </c>
      <c r="N904" t="str">
        <f t="shared" si="29"/>
        <v>Excelsa</v>
      </c>
      <c r="O904" t="str" cm="1">
        <f t="array" ref="O904">_xlfn.SWITCH(J904,"M","Medium","L","Light","D","Dark")</f>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 = 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f t="shared" si="28"/>
        <v>17.46</v>
      </c>
      <c r="N905" t="str">
        <f t="shared" si="29"/>
        <v>Liberica</v>
      </c>
      <c r="O905" t="str" cm="1">
        <f t="array" ref="O905">_xlfn.SWITCH(J905,"M","Medium","L","Light","D","Dark")</f>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 = 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f t="shared" si="28"/>
        <v>148.92499999999998</v>
      </c>
      <c r="N906" t="str">
        <f t="shared" si="29"/>
        <v>Arabica</v>
      </c>
      <c r="O906" t="str" cm="1">
        <f t="array" ref="O906">_xlfn.SWITCH(J906,"M","Medium","L","Light","D","Dark")</f>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 = 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f t="shared" si="28"/>
        <v>40.5</v>
      </c>
      <c r="N907" t="str">
        <f t="shared" si="29"/>
        <v>Arabica</v>
      </c>
      <c r="O907" t="str" cm="1">
        <f t="array" ref="O907">_xlfn.SWITCH(J907,"M","Medium","L","Light","D","Dark")</f>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 = 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f t="shared" si="28"/>
        <v>27</v>
      </c>
      <c r="N908" t="str">
        <f t="shared" si="29"/>
        <v>Arabica</v>
      </c>
      <c r="O908" t="str" cm="1">
        <f t="array" ref="O908">_xlfn.SWITCH(J908,"M","Medium","L","Light","D","Dark")</f>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 = 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f t="shared" si="28"/>
        <v>38.849999999999994</v>
      </c>
      <c r="N909" t="str">
        <f t="shared" si="29"/>
        <v>Liberica</v>
      </c>
      <c r="O909" t="str" cm="1">
        <f t="array" ref="O909">_xlfn.SWITCH(J909,"M","Medium","L","Light","D","Dark")</f>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 = 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f t="shared" si="28"/>
        <v>59.75</v>
      </c>
      <c r="N910" t="str">
        <f t="shared" si="29"/>
        <v>Robusta</v>
      </c>
      <c r="O910" t="str" cm="1">
        <f t="array" ref="O910">_xlfn.SWITCH(J910,"M","Medium","L","Light","D","Dark")</f>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 = 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f t="shared" si="28"/>
        <v>10.754999999999999</v>
      </c>
      <c r="N911" t="str">
        <f t="shared" si="29"/>
        <v>Robusta</v>
      </c>
      <c r="O911" t="str" cm="1">
        <f t="array" ref="O911">_xlfn.SWITCH(J911,"M","Medium","L","Light","D","Dark")</f>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 = 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f t="shared" si="28"/>
        <v>91.539999999999992</v>
      </c>
      <c r="N912" t="str">
        <f t="shared" si="29"/>
        <v>Arabica</v>
      </c>
      <c r="O912" t="str" cm="1">
        <f t="array" ref="O912">_xlfn.SWITCH(J912,"M","Medium","L","Light","D","Dark")</f>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 = 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f t="shared" si="28"/>
        <v>45</v>
      </c>
      <c r="N913" t="str">
        <f t="shared" si="29"/>
        <v>Arabica</v>
      </c>
      <c r="O913" t="str" cm="1">
        <f t="array" ref="O913">_xlfn.SWITCH(J913,"M","Medium","L","Light","D","Dark")</f>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 = 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f t="shared" si="28"/>
        <v>137.31</v>
      </c>
      <c r="N914" t="str">
        <f t="shared" si="29"/>
        <v>Robusta</v>
      </c>
      <c r="O914" t="str" cm="1">
        <f t="array" ref="O914">_xlfn.SWITCH(J914,"M","Medium","L","Light","D","Dark")</f>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 = 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f t="shared" si="28"/>
        <v>6.75</v>
      </c>
      <c r="N915" t="str">
        <f t="shared" si="29"/>
        <v>Arabica</v>
      </c>
      <c r="O915" t="str" cm="1">
        <f t="array" ref="O915">_xlfn.SWITCH(J915,"M","Medium","L","Light","D","Dark")</f>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 = 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f t="shared" si="28"/>
        <v>45</v>
      </c>
      <c r="N916" t="str">
        <f t="shared" si="29"/>
        <v>Arabica</v>
      </c>
      <c r="O916" t="str" cm="1">
        <f t="array" ref="O916">_xlfn.SWITCH(J916,"M","Medium","L","Light","D","Dark")</f>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 = 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f t="shared" si="28"/>
        <v>83.835000000000008</v>
      </c>
      <c r="N917" t="str">
        <f t="shared" si="29"/>
        <v>Excelsa</v>
      </c>
      <c r="O917" t="str" cm="1">
        <f t="array" ref="O917">_xlfn.SWITCH(J917,"M","Medium","L","Light","D","Dark")</f>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 = 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f t="shared" si="28"/>
        <v>3.645</v>
      </c>
      <c r="N918" t="str">
        <f t="shared" si="29"/>
        <v>Excelsa</v>
      </c>
      <c r="O918" t="str" cm="1">
        <f t="array" ref="O918">_xlfn.SWITCH(J918,"M","Medium","L","Light","D","Dark")</f>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 = 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f t="shared" si="28"/>
        <v>6.75</v>
      </c>
      <c r="N919" t="str">
        <f t="shared" si="29"/>
        <v>Arabica</v>
      </c>
      <c r="O919" t="str" cm="1">
        <f t="array" ref="O919">_xlfn.SWITCH(J919,"M","Medium","L","Light","D","Dark")</f>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 = 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f t="shared" si="28"/>
        <v>21.87</v>
      </c>
      <c r="N920" t="str">
        <f t="shared" si="29"/>
        <v>Excelsa</v>
      </c>
      <c r="O920" t="str" cm="1">
        <f t="array" ref="O920">_xlfn.SWITCH(J920,"M","Medium","L","Light","D","Dark")</f>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 = 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f t="shared" si="28"/>
        <v>13.424999999999997</v>
      </c>
      <c r="N921" t="str">
        <f t="shared" si="29"/>
        <v>Robusta</v>
      </c>
      <c r="O921" t="str" cm="1">
        <f t="array" ref="O921">_xlfn.SWITCH(J921,"M","Medium","L","Light","D","Dark")</f>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 = 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f t="shared" si="28"/>
        <v>123.50999999999999</v>
      </c>
      <c r="N922" t="str">
        <f t="shared" si="29"/>
        <v>Robusta</v>
      </c>
      <c r="O922" t="str" cm="1">
        <f t="array" ref="O922">_xlfn.SWITCH(J922,"M","Medium","L","Light","D","Dark")</f>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 = 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f t="shared" si="28"/>
        <v>7.77</v>
      </c>
      <c r="N923" t="str">
        <f t="shared" si="29"/>
        <v>Liberica</v>
      </c>
      <c r="O923" t="str" cm="1">
        <f t="array" ref="O923">_xlfn.SWITCH(J923,"M","Medium","L","Light","D","Dark")</f>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 = 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f t="shared" si="28"/>
        <v>67.5</v>
      </c>
      <c r="N924" t="str">
        <f t="shared" si="29"/>
        <v>Arabica</v>
      </c>
      <c r="O924" t="str" cm="1">
        <f t="array" ref="O924">_xlfn.SWITCH(J924,"M","Medium","L","Light","D","Dark")</f>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 = 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f t="shared" si="28"/>
        <v>27.945</v>
      </c>
      <c r="N925" t="str">
        <f t="shared" si="29"/>
        <v>Excelsa</v>
      </c>
      <c r="O925" t="str" cm="1">
        <f t="array" ref="O925">_xlfn.SWITCH(J925,"M","Medium","L","Light","D","Dark")</f>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 = 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f t="shared" si="28"/>
        <v>89.35499999999999</v>
      </c>
      <c r="N926" t="str">
        <f t="shared" si="29"/>
        <v>Arabica</v>
      </c>
      <c r="O926" t="str" cm="1">
        <f t="array" ref="O926">_xlfn.SWITCH(J926,"M","Medium","L","Light","D","Dark")</f>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 = 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f t="shared" si="28"/>
        <v>20.25</v>
      </c>
      <c r="N927" t="str">
        <f t="shared" si="29"/>
        <v>Arabica</v>
      </c>
      <c r="O927" t="str" cm="1">
        <f t="array" ref="O927">_xlfn.SWITCH(J927,"M","Medium","L","Light","D","Dark")</f>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 = 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f t="shared" si="28"/>
        <v>33.75</v>
      </c>
      <c r="N928" t="str">
        <f t="shared" si="29"/>
        <v>Arabica</v>
      </c>
      <c r="O928" t="str" cm="1">
        <f t="array" ref="O928">_xlfn.SWITCH(J928,"M","Medium","L","Light","D","Dark")</f>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 = 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f t="shared" si="28"/>
        <v>111.78</v>
      </c>
      <c r="N929" t="str">
        <f t="shared" si="29"/>
        <v>Excelsa</v>
      </c>
      <c r="O929" t="str" cm="1">
        <f t="array" ref="O929">_xlfn.SWITCH(J929,"M","Medium","L","Light","D","Dark")</f>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 = 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f t="shared" si="28"/>
        <v>63.249999999999993</v>
      </c>
      <c r="N930" t="str">
        <f t="shared" si="29"/>
        <v>Excelsa</v>
      </c>
      <c r="O930" t="str" cm="1">
        <f t="array" ref="O930">_xlfn.SWITCH(J930,"M","Medium","L","Light","D","Dark")</f>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 = 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f t="shared" si="28"/>
        <v>8.91</v>
      </c>
      <c r="N931" t="str">
        <f t="shared" si="29"/>
        <v>Excelsa</v>
      </c>
      <c r="O931" t="str" cm="1">
        <f t="array" ref="O931">_xlfn.SWITCH(J931,"M","Medium","L","Light","D","Dark")</f>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 = 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f t="shared" si="28"/>
        <v>12.15</v>
      </c>
      <c r="N932" t="str">
        <f t="shared" si="29"/>
        <v>Excelsa</v>
      </c>
      <c r="O932" t="str" cm="1">
        <f t="array" ref="O932">_xlfn.SWITCH(J932,"M","Medium","L","Light","D","Dark")</f>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 = 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f t="shared" si="28"/>
        <v>23.88</v>
      </c>
      <c r="N933" t="str">
        <f t="shared" si="29"/>
        <v>Arabica</v>
      </c>
      <c r="O933" t="str" cm="1">
        <f t="array" ref="O933">_xlfn.SWITCH(J933,"M","Medium","L","Light","D","Dark")</f>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 = 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f t="shared" si="28"/>
        <v>55</v>
      </c>
      <c r="N934" t="str">
        <f t="shared" si="29"/>
        <v>Excelsa</v>
      </c>
      <c r="O934" t="str" cm="1">
        <f t="array" ref="O934">_xlfn.SWITCH(J934,"M","Medium","L","Light","D","Dark")</f>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 = 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f t="shared" si="28"/>
        <v>26.849999999999998</v>
      </c>
      <c r="N935" t="str">
        <f t="shared" si="29"/>
        <v>Robusta</v>
      </c>
      <c r="O935" t="str" cm="1">
        <f t="array" ref="O935">_xlfn.SWITCH(J935,"M","Medium","L","Light","D","Dark")</f>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 = 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f t="shared" si="28"/>
        <v>114.42499999999998</v>
      </c>
      <c r="N936" t="str">
        <f t="shared" si="29"/>
        <v>Robusta</v>
      </c>
      <c r="O936" t="str" cm="1">
        <f t="array" ref="O936">_xlfn.SWITCH(J936,"M","Medium","L","Light","D","Dark")</f>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 = 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f t="shared" si="28"/>
        <v>155.24999999999997</v>
      </c>
      <c r="N937" t="str">
        <f t="shared" si="29"/>
        <v>Arabica</v>
      </c>
      <c r="O937" t="str" cm="1">
        <f t="array" ref="O937">_xlfn.SWITCH(J937,"M","Medium","L","Light","D","Dark")</f>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 = 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f t="shared" si="28"/>
        <v>23.31</v>
      </c>
      <c r="N938" t="str">
        <f t="shared" si="29"/>
        <v>Liberica</v>
      </c>
      <c r="O938" t="str" cm="1">
        <f t="array" ref="O938">_xlfn.SWITCH(J938,"M","Medium","L","Light","D","Dark")</f>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 = 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f t="shared" si="28"/>
        <v>91.539999999999992</v>
      </c>
      <c r="N939" t="str">
        <f t="shared" si="29"/>
        <v>Robusta</v>
      </c>
      <c r="O939" t="str" cm="1">
        <f t="array" ref="O939">_xlfn.SWITCH(J939,"M","Medium","L","Light","D","Dark")</f>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 = 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f t="shared" si="28"/>
        <v>74.25</v>
      </c>
      <c r="N940" t="str">
        <f t="shared" si="29"/>
        <v>Excelsa</v>
      </c>
      <c r="O940" t="str" cm="1">
        <f t="array" ref="O940">_xlfn.SWITCH(J940,"M","Medium","L","Light","D","Dark")</f>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 = 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f t="shared" si="28"/>
        <v>28.53</v>
      </c>
      <c r="N941" t="str">
        <f t="shared" si="29"/>
        <v>Liberica</v>
      </c>
      <c r="O941" t="str" cm="1">
        <f t="array" ref="O941">_xlfn.SWITCH(J941,"M","Medium","L","Light","D","Dark")</f>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 = 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f t="shared" si="28"/>
        <v>14.339999999999998</v>
      </c>
      <c r="N942" t="str">
        <f t="shared" si="29"/>
        <v>Robusta</v>
      </c>
      <c r="O942" t="str" cm="1">
        <f t="array" ref="O942">_xlfn.SWITCH(J942,"M","Medium","L","Light","D","Dark")</f>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 = 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f t="shared" si="28"/>
        <v>15.54</v>
      </c>
      <c r="N943" t="str">
        <f t="shared" si="29"/>
        <v>Arabica</v>
      </c>
      <c r="O943" t="str" cm="1">
        <f t="array" ref="O943">_xlfn.SWITCH(J943,"M","Medium","L","Light","D","Dark")</f>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 = 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f t="shared" si="28"/>
        <v>35.849999999999994</v>
      </c>
      <c r="N944" t="str">
        <f t="shared" si="29"/>
        <v>Robusta</v>
      </c>
      <c r="O944" t="str" cm="1">
        <f t="array" ref="O944">_xlfn.SWITCH(J944,"M","Medium","L","Light","D","Dark")</f>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 = 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f t="shared" si="28"/>
        <v>46.62</v>
      </c>
      <c r="N945" t="str">
        <f t="shared" si="29"/>
        <v>Arabica</v>
      </c>
      <c r="O945" t="str" cm="1">
        <f t="array" ref="O945">_xlfn.SWITCH(J945,"M","Medium","L","Light","D","Dark")</f>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 = 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f t="shared" si="28"/>
        <v>35.849999999999994</v>
      </c>
      <c r="N946" t="str">
        <f t="shared" si="29"/>
        <v>Robusta</v>
      </c>
      <c r="O946" t="str" cm="1">
        <f t="array" ref="O946">_xlfn.SWITCH(J946,"M","Medium","L","Light","D","Dark")</f>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 = 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f t="shared" si="28"/>
        <v>119.13999999999999</v>
      </c>
      <c r="N947" t="str">
        <f t="shared" si="29"/>
        <v>Liberica</v>
      </c>
      <c r="O947" t="str" cm="1">
        <f t="array" ref="O947">_xlfn.SWITCH(J947,"M","Medium","L","Light","D","Dark")</f>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 = 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f t="shared" si="28"/>
        <v>23.31</v>
      </c>
      <c r="N948" t="str">
        <f t="shared" si="29"/>
        <v>Liberica</v>
      </c>
      <c r="O948" t="str" cm="1">
        <f t="array" ref="O948">_xlfn.SWITCH(J948,"M","Medium","L","Light","D","Dark")</f>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 = 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f t="shared" si="28"/>
        <v>11.25</v>
      </c>
      <c r="N949" t="str">
        <f t="shared" si="29"/>
        <v>Arabica</v>
      </c>
      <c r="O949" t="str" cm="1">
        <f t="array" ref="O949">_xlfn.SWITCH(J949,"M","Medium","L","Light","D","Dark")</f>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 = 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f t="shared" si="28"/>
        <v>83.835000000000008</v>
      </c>
      <c r="N950" t="str">
        <f t="shared" si="29"/>
        <v>Excelsa</v>
      </c>
      <c r="O950" t="str" cm="1">
        <f t="array" ref="O950">_xlfn.SWITCH(J950,"M","Medium","L","Light","D","Dark")</f>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 = 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f t="shared" si="28"/>
        <v>109.93999999999998</v>
      </c>
      <c r="N951" t="str">
        <f t="shared" si="29"/>
        <v>Robusta</v>
      </c>
      <c r="O951" t="str" cm="1">
        <f t="array" ref="O951">_xlfn.SWITCH(J951,"M","Medium","L","Light","D","Dark")</f>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 = 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f t="shared" si="28"/>
        <v>14.339999999999998</v>
      </c>
      <c r="N952" t="str">
        <f t="shared" si="29"/>
        <v>Robusta</v>
      </c>
      <c r="O952" t="str" cm="1">
        <f t="array" ref="O952">_xlfn.SWITCH(J952,"M","Medium","L","Light","D","Dark")</f>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 = 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f t="shared" si="28"/>
        <v>21.509999999999998</v>
      </c>
      <c r="N953" t="str">
        <f t="shared" si="29"/>
        <v>Robusta</v>
      </c>
      <c r="O953" t="str" cm="1">
        <f t="array" ref="O953">_xlfn.SWITCH(J953,"M","Medium","L","Light","D","Dark")</f>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 = 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f t="shared" si="28"/>
        <v>22.5</v>
      </c>
      <c r="N954" t="str">
        <f t="shared" si="29"/>
        <v>Arabica</v>
      </c>
      <c r="O954" t="str" cm="1">
        <f t="array" ref="O954">_xlfn.SWITCH(J954,"M","Medium","L","Light","D","Dark")</f>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 = 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f t="shared" si="28"/>
        <v>3.8849999999999998</v>
      </c>
      <c r="N955" t="str">
        <f t="shared" si="29"/>
        <v>Arabica</v>
      </c>
      <c r="O955" t="str" cm="1">
        <f t="array" ref="O955">_xlfn.SWITCH(J955,"M","Medium","L","Light","D","Dark")</f>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 = 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f t="shared" si="28"/>
        <v>27.945</v>
      </c>
      <c r="N956" t="str">
        <f t="shared" si="29"/>
        <v>Excelsa</v>
      </c>
      <c r="O956" t="str" cm="1">
        <f t="array" ref="O956">_xlfn.SWITCH(J956,"M","Medium","L","Light","D","Dark")</f>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 = 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f t="shared" si="28"/>
        <v>170.77499999999998</v>
      </c>
      <c r="N957" t="str">
        <f t="shared" si="29"/>
        <v>Excelsa</v>
      </c>
      <c r="O957" t="str" cm="1">
        <f t="array" ref="O957">_xlfn.SWITCH(J957,"M","Medium","L","Light","D","Dark")</f>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 = 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f t="shared" si="28"/>
        <v>54.969999999999992</v>
      </c>
      <c r="N958" t="str">
        <f t="shared" si="29"/>
        <v>Robusta</v>
      </c>
      <c r="O958" t="str" cm="1">
        <f t="array" ref="O958">_xlfn.SWITCH(J958,"M","Medium","L","Light","D","Dark")</f>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 = 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f t="shared" si="28"/>
        <v>14.85</v>
      </c>
      <c r="N959" t="str">
        <f t="shared" si="29"/>
        <v>Excelsa</v>
      </c>
      <c r="O959" t="str" cm="1">
        <f t="array" ref="O959">_xlfn.SWITCH(J959,"M","Medium","L","Light","D","Dark")</f>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 = 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f t="shared" si="28"/>
        <v>7.77</v>
      </c>
      <c r="N960" t="str">
        <f t="shared" si="29"/>
        <v>Arabica</v>
      </c>
      <c r="O960" t="str" cm="1">
        <f t="array" ref="O960">_xlfn.SWITCH(J960,"M","Medium","L","Light","D","Dark")</f>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 = 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f t="shared" si="28"/>
        <v>23.774999999999999</v>
      </c>
      <c r="N961" t="str">
        <f t="shared" si="29"/>
        <v>Liberica</v>
      </c>
      <c r="O961" t="str" cm="1">
        <f t="array" ref="O961">_xlfn.SWITCH(J961,"M","Medium","L","Light","D","Dark")</f>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 = 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f t="shared" si="28"/>
        <v>79.25</v>
      </c>
      <c r="N962" t="str">
        <f t="shared" si="29"/>
        <v>Liberica</v>
      </c>
      <c r="O962" t="str" cm="1">
        <f t="array" ref="O962">_xlfn.SWITCH(J962,"M","Medium","L","Light","D","Dark")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 = 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f t="shared" ref="M963:M1001" si="30">L963*E963</f>
        <v>45.769999999999996</v>
      </c>
      <c r="N963" t="str">
        <f t="shared" ref="N963:N1001" si="31">IF(I963="Rob","Robusta",IF(I963="Exc","Excelsa",IF(I963="Ara","Arabica",IF(I963="Lib","Liberica",""))))</f>
        <v>Arabica</v>
      </c>
      <c r="O963" t="str" cm="1">
        <f t="array" ref="O963">_xlfn.SWITCH(J963,"M","Medium","L","Light","D","Dark")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 = 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f t="shared" si="30"/>
        <v>8.9499999999999993</v>
      </c>
      <c r="N964" t="str">
        <f t="shared" si="31"/>
        <v>Robusta</v>
      </c>
      <c r="O964" t="str" cm="1">
        <f t="array" ref="O964">_xlfn.SWITCH(J964,"M","Medium","L","Light","D","Dark")</f>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 = 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f t="shared" si="30"/>
        <v>23.88</v>
      </c>
      <c r="N965" t="str">
        <f t="shared" si="31"/>
        <v>Robusta</v>
      </c>
      <c r="O965" t="str" cm="1">
        <f t="array" ref="O965">_xlfn.SWITCH(J965,"M","Medium","L","Light","D","Dark")</f>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 = 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f t="shared" si="30"/>
        <v>22.274999999999999</v>
      </c>
      <c r="N966" t="str">
        <f t="shared" si="31"/>
        <v>Excelsa</v>
      </c>
      <c r="O966" t="str" cm="1">
        <f t="array" ref="O966">_xlfn.SWITCH(J966,"M","Medium","L","Light","D","Dark")</f>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 = 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f t="shared" si="30"/>
        <v>29.849999999999998</v>
      </c>
      <c r="N967" t="str">
        <f t="shared" si="31"/>
        <v>Robusta</v>
      </c>
      <c r="O967" t="str" cm="1">
        <f t="array" ref="O967">_xlfn.SWITCH(J967,"M","Medium","L","Light","D","Dark")</f>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 = 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f t="shared" si="30"/>
        <v>53.46</v>
      </c>
      <c r="N968" t="str">
        <f t="shared" si="31"/>
        <v>Excelsa</v>
      </c>
      <c r="O968" t="str" cm="1">
        <f t="array" ref="O968">_xlfn.SWITCH(J968,"M","Medium","L","Light","D","Dark")</f>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 = 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f t="shared" si="30"/>
        <v>2.6849999999999996</v>
      </c>
      <c r="N969" t="str">
        <f t="shared" si="31"/>
        <v>Robusta</v>
      </c>
      <c r="O969" t="str" cm="1">
        <f t="array" ref="O969">_xlfn.SWITCH(J969,"M","Medium","L","Light","D","Dark")</f>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 = 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f t="shared" si="30"/>
        <v>5.97</v>
      </c>
      <c r="N970" t="str">
        <f t="shared" si="31"/>
        <v>Robusta</v>
      </c>
      <c r="O970" t="str" cm="1">
        <f t="array" ref="O970">_xlfn.SWITCH(J970,"M","Medium","L","Light","D","Dark")</f>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 = 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f t="shared" si="30"/>
        <v>12.95</v>
      </c>
      <c r="N971" t="str">
        <f t="shared" si="31"/>
        <v>Liberica</v>
      </c>
      <c r="O971" t="str" cm="1">
        <f t="array" ref="O971">_xlfn.SWITCH(J971,"M","Medium","L","Light","D","Dark")</f>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 = 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f t="shared" si="30"/>
        <v>8.25</v>
      </c>
      <c r="N972" t="str">
        <f t="shared" si="31"/>
        <v>Excelsa</v>
      </c>
      <c r="O972" t="str" cm="1">
        <f t="array" ref="O972">_xlfn.SWITCH(J972,"M","Medium","L","Light","D","Dark")</f>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 = 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f t="shared" si="30"/>
        <v>148.92499999999998</v>
      </c>
      <c r="N973" t="str">
        <f t="shared" si="31"/>
        <v>Arabica</v>
      </c>
      <c r="O973" t="str" cm="1">
        <f t="array" ref="O973">_xlfn.SWITCH(J973,"M","Medium","L","Light","D","Dark")</f>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 = 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f t="shared" si="30"/>
        <v>89.35499999999999</v>
      </c>
      <c r="N974" t="str">
        <f t="shared" si="31"/>
        <v>Arabica</v>
      </c>
      <c r="O974" t="str" cm="1">
        <f t="array" ref="O974">_xlfn.SWITCH(J974,"M","Medium","L","Light","D","Dark")</f>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 = 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f t="shared" si="30"/>
        <v>87.300000000000011</v>
      </c>
      <c r="N975" t="str">
        <f t="shared" si="31"/>
        <v>Liberica</v>
      </c>
      <c r="O975" t="str" cm="1">
        <f t="array" ref="O975">_xlfn.SWITCH(J975,"M","Medium","L","Light","D","Dark")</f>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 = 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f t="shared" si="30"/>
        <v>5.3699999999999992</v>
      </c>
      <c r="N976" t="str">
        <f t="shared" si="31"/>
        <v>Robusta</v>
      </c>
      <c r="O976" t="str" cm="1">
        <f t="array" ref="O976">_xlfn.SWITCH(J976,"M","Medium","L","Light","D","Dark")</f>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 = 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f t="shared" si="30"/>
        <v>8.9550000000000001</v>
      </c>
      <c r="N977" t="str">
        <f t="shared" si="31"/>
        <v>Arabica</v>
      </c>
      <c r="O977" t="str" cm="1">
        <f t="array" ref="O977">_xlfn.SWITCH(J977,"M","Medium","L","Light","D","Dark")</f>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 = 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f t="shared" si="30"/>
        <v>137.42499999999998</v>
      </c>
      <c r="N978" t="str">
        <f t="shared" si="31"/>
        <v>Robusta</v>
      </c>
      <c r="O978" t="str" cm="1">
        <f t="array" ref="O978">_xlfn.SWITCH(J978,"M","Medium","L","Light","D","Dark")</f>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 = 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f t="shared" si="30"/>
        <v>59.75</v>
      </c>
      <c r="N979" t="str">
        <f t="shared" si="31"/>
        <v>Robusta</v>
      </c>
      <c r="O979" t="str" cm="1">
        <f t="array" ref="O979">_xlfn.SWITCH(J979,"M","Medium","L","Light","D","Dark")</f>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 = 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f t="shared" si="30"/>
        <v>23.31</v>
      </c>
      <c r="N980" t="str">
        <f t="shared" si="31"/>
        <v>Arabica</v>
      </c>
      <c r="O980" t="str" cm="1">
        <f t="array" ref="O980">_xlfn.SWITCH(J980,"M","Medium","L","Light","D","Dark")</f>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 = 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f t="shared" si="30"/>
        <v>10.739999999999998</v>
      </c>
      <c r="N981" t="str">
        <f t="shared" si="31"/>
        <v>Robusta</v>
      </c>
      <c r="O981" t="str" cm="1">
        <f t="array" ref="O981">_xlfn.SWITCH(J981,"M","Medium","L","Light","D","Dark")</f>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 = 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f t="shared" si="30"/>
        <v>167.67000000000002</v>
      </c>
      <c r="N982" t="str">
        <f t="shared" si="31"/>
        <v>Excelsa</v>
      </c>
      <c r="O982" t="str" cm="1">
        <f t="array" ref="O982">_xlfn.SWITCH(J982,"M","Medium","L","Light","D","Dark")</f>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 = 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f t="shared" si="30"/>
        <v>21.87</v>
      </c>
      <c r="N983" t="str">
        <f t="shared" si="31"/>
        <v>Excelsa</v>
      </c>
      <c r="O983" t="str" cm="1">
        <f t="array" ref="O983">_xlfn.SWITCH(J983,"M","Medium","L","Light","D","Dark")</f>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 = 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f t="shared" si="30"/>
        <v>23.9</v>
      </c>
      <c r="N984" t="str">
        <f t="shared" si="31"/>
        <v>Robusta</v>
      </c>
      <c r="O984" t="str" cm="1">
        <f t="array" ref="O984">_xlfn.SWITCH(J984,"M","Medium","L","Light","D","Dark")</f>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 = 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f t="shared" si="30"/>
        <v>6.75</v>
      </c>
      <c r="N985" t="str">
        <f t="shared" si="31"/>
        <v>Arabica</v>
      </c>
      <c r="O985" t="str" cm="1">
        <f t="array" ref="O985">_xlfn.SWITCH(J985,"M","Medium","L","Light","D","Dark")</f>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 = 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f t="shared" si="30"/>
        <v>31.624999999999996</v>
      </c>
      <c r="N986" t="str">
        <f t="shared" si="31"/>
        <v>Excelsa</v>
      </c>
      <c r="O986" t="str" cm="1">
        <f t="array" ref="O986">_xlfn.SWITCH(J986,"M","Medium","L","Light","D","Dark")</f>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 = 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f t="shared" si="30"/>
        <v>47.8</v>
      </c>
      <c r="N987" t="str">
        <f t="shared" si="31"/>
        <v>Robusta</v>
      </c>
      <c r="O987" t="str" cm="1">
        <f t="array" ref="O987">_xlfn.SWITCH(J987,"M","Medium","L","Light","D","Dark")</f>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 = 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f t="shared" si="30"/>
        <v>33.464999999999996</v>
      </c>
      <c r="N988" t="str">
        <f t="shared" si="31"/>
        <v>Liberica</v>
      </c>
      <c r="O988" t="str" cm="1">
        <f t="array" ref="O988">_xlfn.SWITCH(J988,"M","Medium","L","Light","D","Dark")</f>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 = 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f t="shared" si="30"/>
        <v>29.849999999999998</v>
      </c>
      <c r="N989" t="str">
        <f t="shared" si="31"/>
        <v>Arabica</v>
      </c>
      <c r="O989" t="str" cm="1">
        <f t="array" ref="O989">_xlfn.SWITCH(J989,"M","Medium","L","Light","D","Dark")</f>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 = 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f t="shared" si="30"/>
        <v>29.849999999999998</v>
      </c>
      <c r="N990" t="str">
        <f t="shared" si="31"/>
        <v>Robusta</v>
      </c>
      <c r="O990" t="str" cm="1">
        <f t="array" ref="O990">_xlfn.SWITCH(J990,"M","Medium","L","Light","D","Dark")</f>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 = 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f t="shared" si="30"/>
        <v>155.24999999999997</v>
      </c>
      <c r="N991" t="str">
        <f t="shared" si="31"/>
        <v>Arabica</v>
      </c>
      <c r="O991" t="str" cm="1">
        <f t="array" ref="O991">_xlfn.SWITCH(J991,"M","Medium","L","Light","D","Dark")</f>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 = 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f t="shared" si="30"/>
        <v>18.225000000000001</v>
      </c>
      <c r="N992" t="str">
        <f t="shared" si="31"/>
        <v>Excelsa</v>
      </c>
      <c r="O992" t="str" cm="1">
        <f t="array" ref="O992">_xlfn.SWITCH(J992,"M","Medium","L","Light","D","Dark")</f>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 = 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f t="shared" si="30"/>
        <v>15.54</v>
      </c>
      <c r="N993" t="str">
        <f t="shared" si="31"/>
        <v>Liberica</v>
      </c>
      <c r="O993" t="str" cm="1">
        <f t="array" ref="O993">_xlfn.SWITCH(J993,"M","Medium","L","Light","D","Dark")</f>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 = 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f t="shared" si="30"/>
        <v>109.36499999999999</v>
      </c>
      <c r="N994" t="str">
        <f t="shared" si="31"/>
        <v>Liberica</v>
      </c>
      <c r="O994" t="str" cm="1">
        <f t="array" ref="O994">_xlfn.SWITCH(J994,"M","Medium","L","Light","D","Dark")</f>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 = 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f t="shared" si="30"/>
        <v>77.699999999999989</v>
      </c>
      <c r="N995" t="str">
        <f t="shared" si="31"/>
        <v>Arabica</v>
      </c>
      <c r="O995" t="str" cm="1">
        <f t="array" ref="O995">_xlfn.SWITCH(J995,"M","Medium","L","Light","D","Dark")</f>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 = 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f t="shared" si="30"/>
        <v>8.9550000000000001</v>
      </c>
      <c r="N996" t="str">
        <f t="shared" si="31"/>
        <v>Arabica</v>
      </c>
      <c r="O996" t="str" cm="1">
        <f t="array" ref="O996">_xlfn.SWITCH(J996,"M","Medium","L","Light","D","Dark")</f>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 = 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f t="shared" si="30"/>
        <v>27.484999999999996</v>
      </c>
      <c r="N997" t="str">
        <f t="shared" si="31"/>
        <v>Robusta</v>
      </c>
      <c r="O997" t="str" cm="1">
        <f t="array" ref="O997">_xlfn.SWITCH(J997,"M","Medium","L","Light","D","Dark")</f>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 = 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f t="shared" si="30"/>
        <v>29.849999999999998</v>
      </c>
      <c r="N998" t="str">
        <f t="shared" si="31"/>
        <v>Robusta</v>
      </c>
      <c r="O998" t="str" cm="1">
        <f t="array" ref="O998">_xlfn.SWITCH(J998,"M","Medium","L","Light","D","Dark")</f>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 = 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f t="shared" si="30"/>
        <v>27</v>
      </c>
      <c r="N999" t="str">
        <f t="shared" si="31"/>
        <v>Arabica</v>
      </c>
      <c r="O999" t="str" cm="1">
        <f t="array" ref="O999">_xlfn.SWITCH(J999,"M","Medium","L","Light","D","Dark")</f>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 = 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f t="shared" si="30"/>
        <v>9.9499999999999993</v>
      </c>
      <c r="N1000" t="str">
        <f t="shared" si="31"/>
        <v>Arabica</v>
      </c>
      <c r="O1000" t="str" cm="1">
        <f t="array" ref="O1000">_xlfn.SWITCH(J1000,"M","Medium","L","Light","D","Dark")</f>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 = 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f t="shared" si="30"/>
        <v>12.375</v>
      </c>
      <c r="N1001" t="str">
        <f t="shared" si="31"/>
        <v>Excelsa</v>
      </c>
      <c r="O1001" t="str" cm="1">
        <f t="array" ref="O1001">_xlfn.SWITCH(J1001,"M","Medium","L","Light","D","Dark")</f>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3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DF443-1461-4B17-B311-40434108D48D}">
  <dimension ref="A3:G53"/>
  <sheetViews>
    <sheetView topLeftCell="A4" zoomScale="57" workbookViewId="0">
      <selection activeCell="K33" sqref="K33"/>
    </sheetView>
  </sheetViews>
  <sheetFormatPr defaultRowHeight="14.4" x14ac:dyDescent="0.3"/>
  <cols>
    <col min="1" max="1" width="12.5546875" bestFit="1" customWidth="1"/>
    <col min="2" max="2" width="27.5546875" bestFit="1" customWidth="1"/>
    <col min="3" max="6" width="25.6640625" bestFit="1" customWidth="1"/>
    <col min="7" max="7" width="14.33203125" bestFit="1" customWidth="1"/>
  </cols>
  <sheetData>
    <row r="3" spans="1:7" x14ac:dyDescent="0.3">
      <c r="A3" s="7" t="s">
        <v>6225</v>
      </c>
      <c r="C3" s="7" t="s">
        <v>6196</v>
      </c>
    </row>
    <row r="4" spans="1:7" x14ac:dyDescent="0.3">
      <c r="A4" s="7" t="s">
        <v>6215</v>
      </c>
      <c r="B4" s="7" t="s">
        <v>6216</v>
      </c>
      <c r="C4" t="s">
        <v>6221</v>
      </c>
      <c r="D4" t="s">
        <v>6222</v>
      </c>
      <c r="E4" t="s">
        <v>6223</v>
      </c>
      <c r="F4" t="s">
        <v>6224</v>
      </c>
      <c r="G4" t="s">
        <v>6198</v>
      </c>
    </row>
    <row r="5" spans="1:7" x14ac:dyDescent="0.3">
      <c r="A5" t="s">
        <v>6199</v>
      </c>
      <c r="B5" t="s">
        <v>6203</v>
      </c>
      <c r="C5" s="8">
        <v>186.85499999999999</v>
      </c>
      <c r="D5" s="8">
        <v>305.97000000000003</v>
      </c>
      <c r="E5" s="8">
        <v>213.15999999999997</v>
      </c>
      <c r="F5" s="8">
        <v>123</v>
      </c>
      <c r="G5" s="8">
        <v>828.98500000000001</v>
      </c>
    </row>
    <row r="6" spans="1:7" x14ac:dyDescent="0.3">
      <c r="B6" t="s">
        <v>6204</v>
      </c>
      <c r="C6" s="8">
        <v>251.96499999999997</v>
      </c>
      <c r="D6" s="8">
        <v>129.46</v>
      </c>
      <c r="E6" s="8">
        <v>434.03999999999996</v>
      </c>
      <c r="F6" s="8">
        <v>171.93999999999997</v>
      </c>
      <c r="G6" s="8">
        <v>987.40499999999986</v>
      </c>
    </row>
    <row r="7" spans="1:7" x14ac:dyDescent="0.3">
      <c r="B7" t="s">
        <v>6205</v>
      </c>
      <c r="C7" s="8">
        <v>224.94499999999999</v>
      </c>
      <c r="D7" s="8">
        <v>349.12</v>
      </c>
      <c r="E7" s="8">
        <v>321.04000000000002</v>
      </c>
      <c r="F7" s="8">
        <v>126.035</v>
      </c>
      <c r="G7" s="8">
        <v>1021.14</v>
      </c>
    </row>
    <row r="8" spans="1:7" x14ac:dyDescent="0.3">
      <c r="B8" t="s">
        <v>6206</v>
      </c>
      <c r="C8" s="8">
        <v>307.12</v>
      </c>
      <c r="D8" s="8">
        <v>681.07499999999993</v>
      </c>
      <c r="E8" s="8">
        <v>533.70499999999993</v>
      </c>
      <c r="F8" s="8">
        <v>158.85</v>
      </c>
      <c r="G8" s="8">
        <v>1680.7499999999998</v>
      </c>
    </row>
    <row r="9" spans="1:7" x14ac:dyDescent="0.3">
      <c r="B9" t="s">
        <v>6207</v>
      </c>
      <c r="C9" s="8">
        <v>53.664999999999992</v>
      </c>
      <c r="D9" s="8">
        <v>83.025000000000006</v>
      </c>
      <c r="E9" s="8">
        <v>193.83499999999998</v>
      </c>
      <c r="F9" s="8">
        <v>68.039999999999992</v>
      </c>
      <c r="G9" s="8">
        <v>398.56499999999994</v>
      </c>
    </row>
    <row r="10" spans="1:7" x14ac:dyDescent="0.3">
      <c r="B10" t="s">
        <v>6208</v>
      </c>
      <c r="C10" s="8">
        <v>163.01999999999998</v>
      </c>
      <c r="D10" s="8">
        <v>678.3599999999999</v>
      </c>
      <c r="E10" s="8">
        <v>171.04500000000002</v>
      </c>
      <c r="F10" s="8">
        <v>372.255</v>
      </c>
      <c r="G10" s="8">
        <v>1384.6799999999998</v>
      </c>
    </row>
    <row r="11" spans="1:7" x14ac:dyDescent="0.3">
      <c r="B11" t="s">
        <v>6209</v>
      </c>
      <c r="C11" s="8">
        <v>345.02</v>
      </c>
      <c r="D11" s="8">
        <v>273.86999999999995</v>
      </c>
      <c r="E11" s="8">
        <v>184.12999999999997</v>
      </c>
      <c r="F11" s="8">
        <v>201.11499999999998</v>
      </c>
      <c r="G11" s="8">
        <v>1004.1349999999999</v>
      </c>
    </row>
    <row r="12" spans="1:7" x14ac:dyDescent="0.3">
      <c r="B12" t="s">
        <v>6210</v>
      </c>
      <c r="C12" s="8">
        <v>334.89</v>
      </c>
      <c r="D12" s="8">
        <v>70.95</v>
      </c>
      <c r="E12" s="8">
        <v>134.23000000000002</v>
      </c>
      <c r="F12" s="8">
        <v>166.27499999999998</v>
      </c>
      <c r="G12" s="8">
        <v>706.34499999999991</v>
      </c>
    </row>
    <row r="13" spans="1:7" x14ac:dyDescent="0.3">
      <c r="B13" t="s">
        <v>6211</v>
      </c>
      <c r="C13" s="8">
        <v>178.70999999999998</v>
      </c>
      <c r="D13" s="8">
        <v>166.1</v>
      </c>
      <c r="E13" s="8">
        <v>439.30999999999995</v>
      </c>
      <c r="F13" s="8">
        <v>492.9</v>
      </c>
      <c r="G13" s="8">
        <v>1277.02</v>
      </c>
    </row>
    <row r="14" spans="1:7" x14ac:dyDescent="0.3">
      <c r="B14" t="s">
        <v>6212</v>
      </c>
      <c r="C14" s="8">
        <v>301.98500000000001</v>
      </c>
      <c r="D14" s="8">
        <v>153.76499999999999</v>
      </c>
      <c r="E14" s="8">
        <v>215.55499999999998</v>
      </c>
      <c r="F14" s="8">
        <v>213.66499999999999</v>
      </c>
      <c r="G14" s="8">
        <v>884.96999999999991</v>
      </c>
    </row>
    <row r="15" spans="1:7" x14ac:dyDescent="0.3">
      <c r="B15" t="s">
        <v>6213</v>
      </c>
      <c r="C15" s="8">
        <v>312.83499999999998</v>
      </c>
      <c r="D15" s="8">
        <v>63.249999999999993</v>
      </c>
      <c r="E15" s="8">
        <v>350.89500000000004</v>
      </c>
      <c r="F15" s="8">
        <v>96.405000000000001</v>
      </c>
      <c r="G15" s="8">
        <v>823.38499999999999</v>
      </c>
    </row>
    <row r="16" spans="1:7" x14ac:dyDescent="0.3">
      <c r="B16" t="s">
        <v>6214</v>
      </c>
      <c r="C16" s="8">
        <v>265.62</v>
      </c>
      <c r="D16" s="8">
        <v>526.51499999999987</v>
      </c>
      <c r="E16" s="8">
        <v>187.06</v>
      </c>
      <c r="F16" s="8">
        <v>210.58999999999997</v>
      </c>
      <c r="G16" s="8">
        <v>1189.7849999999999</v>
      </c>
    </row>
    <row r="17" spans="1:7" x14ac:dyDescent="0.3">
      <c r="A17" t="s">
        <v>6217</v>
      </c>
      <c r="C17" s="8">
        <v>2926.63</v>
      </c>
      <c r="D17" s="8">
        <v>3481.4599999999996</v>
      </c>
      <c r="E17" s="8">
        <v>3378.0049999999997</v>
      </c>
      <c r="F17" s="8">
        <v>2401.0700000000002</v>
      </c>
      <c r="G17" s="8">
        <v>12187.164999999999</v>
      </c>
    </row>
    <row r="18" spans="1:7" x14ac:dyDescent="0.3">
      <c r="A18" t="s">
        <v>6200</v>
      </c>
      <c r="B18" t="s">
        <v>6203</v>
      </c>
      <c r="C18" s="8">
        <v>47.25</v>
      </c>
      <c r="D18" s="8">
        <v>65.805000000000007</v>
      </c>
      <c r="E18" s="8">
        <v>274.67500000000001</v>
      </c>
      <c r="F18" s="8">
        <v>179.22</v>
      </c>
      <c r="G18" s="8">
        <v>566.95000000000005</v>
      </c>
    </row>
    <row r="19" spans="1:7" x14ac:dyDescent="0.3">
      <c r="B19" t="s">
        <v>6204</v>
      </c>
      <c r="C19" s="8">
        <v>745.44999999999993</v>
      </c>
      <c r="D19" s="8">
        <v>428.88499999999999</v>
      </c>
      <c r="E19" s="8">
        <v>194.17499999999998</v>
      </c>
      <c r="F19" s="8">
        <v>429.82999999999993</v>
      </c>
      <c r="G19" s="8">
        <v>1798.34</v>
      </c>
    </row>
    <row r="20" spans="1:7" x14ac:dyDescent="0.3">
      <c r="B20" t="s">
        <v>6205</v>
      </c>
      <c r="C20" s="8">
        <v>130.47</v>
      </c>
      <c r="D20" s="8">
        <v>271.48500000000001</v>
      </c>
      <c r="E20" s="8">
        <v>281.20499999999998</v>
      </c>
      <c r="F20" s="8">
        <v>231.63000000000002</v>
      </c>
      <c r="G20" s="8">
        <v>914.79000000000008</v>
      </c>
    </row>
    <row r="21" spans="1:7" x14ac:dyDescent="0.3">
      <c r="B21" t="s">
        <v>6206</v>
      </c>
      <c r="C21" s="8">
        <v>27</v>
      </c>
      <c r="D21" s="8">
        <v>347.26</v>
      </c>
      <c r="E21" s="8">
        <v>147.51</v>
      </c>
      <c r="F21" s="8">
        <v>240.04</v>
      </c>
      <c r="G21" s="8">
        <v>761.81</v>
      </c>
    </row>
    <row r="22" spans="1:7" x14ac:dyDescent="0.3">
      <c r="B22" t="s">
        <v>6207</v>
      </c>
      <c r="C22" s="8">
        <v>255.11499999999995</v>
      </c>
      <c r="D22" s="8">
        <v>541.73</v>
      </c>
      <c r="E22" s="8">
        <v>83.43</v>
      </c>
      <c r="F22" s="8">
        <v>59.079999999999991</v>
      </c>
      <c r="G22" s="8">
        <v>939.35500000000013</v>
      </c>
    </row>
    <row r="23" spans="1:7" x14ac:dyDescent="0.3">
      <c r="B23" t="s">
        <v>6208</v>
      </c>
      <c r="C23" s="8">
        <v>584.78999999999985</v>
      </c>
      <c r="D23" s="8">
        <v>357.42999999999995</v>
      </c>
      <c r="E23" s="8">
        <v>355.34</v>
      </c>
      <c r="F23" s="8">
        <v>140.88</v>
      </c>
      <c r="G23" s="8">
        <v>1438.4399999999996</v>
      </c>
    </row>
    <row r="24" spans="1:7" x14ac:dyDescent="0.3">
      <c r="B24" t="s">
        <v>6209</v>
      </c>
      <c r="C24" s="8">
        <v>430.62</v>
      </c>
      <c r="D24" s="8">
        <v>227.42500000000001</v>
      </c>
      <c r="E24" s="8">
        <v>236.315</v>
      </c>
      <c r="F24" s="8">
        <v>414.58499999999992</v>
      </c>
      <c r="G24" s="8">
        <v>1308.9450000000002</v>
      </c>
    </row>
    <row r="25" spans="1:7" x14ac:dyDescent="0.3">
      <c r="B25" t="s">
        <v>6210</v>
      </c>
      <c r="C25" s="8">
        <v>22.5</v>
      </c>
      <c r="D25" s="8">
        <v>77.72</v>
      </c>
      <c r="E25" s="8">
        <v>60.5</v>
      </c>
      <c r="F25" s="8">
        <v>139.67999999999998</v>
      </c>
      <c r="G25" s="8">
        <v>300.39999999999998</v>
      </c>
    </row>
    <row r="26" spans="1:7" x14ac:dyDescent="0.3">
      <c r="B26" t="s">
        <v>6211</v>
      </c>
      <c r="C26" s="8">
        <v>126.14999999999999</v>
      </c>
      <c r="D26" s="8">
        <v>195.11</v>
      </c>
      <c r="E26" s="8">
        <v>89.13</v>
      </c>
      <c r="F26" s="8">
        <v>302.65999999999997</v>
      </c>
      <c r="G26" s="8">
        <v>713.05</v>
      </c>
    </row>
    <row r="27" spans="1:7" x14ac:dyDescent="0.3">
      <c r="B27" t="s">
        <v>6212</v>
      </c>
      <c r="C27" s="8">
        <v>376.03</v>
      </c>
      <c r="D27" s="8">
        <v>523.24</v>
      </c>
      <c r="E27" s="8">
        <v>440.96499999999997</v>
      </c>
      <c r="F27" s="8">
        <v>174.46999999999997</v>
      </c>
      <c r="G27" s="8">
        <v>1514.7049999999999</v>
      </c>
    </row>
    <row r="28" spans="1:7" x14ac:dyDescent="0.3">
      <c r="B28" t="s">
        <v>6213</v>
      </c>
      <c r="C28" s="8">
        <v>515.17999999999995</v>
      </c>
      <c r="D28" s="8">
        <v>142.56</v>
      </c>
      <c r="E28" s="8">
        <v>347.03999999999996</v>
      </c>
      <c r="F28" s="8">
        <v>104.08499999999999</v>
      </c>
      <c r="G28" s="8">
        <v>1108.865</v>
      </c>
    </row>
    <row r="29" spans="1:7" x14ac:dyDescent="0.3">
      <c r="B29" t="s">
        <v>6214</v>
      </c>
      <c r="C29" s="8">
        <v>95.859999999999985</v>
      </c>
      <c r="D29" s="8">
        <v>484.76</v>
      </c>
      <c r="E29" s="8">
        <v>94.17</v>
      </c>
      <c r="F29" s="8">
        <v>77.10499999999999</v>
      </c>
      <c r="G29" s="8">
        <v>751.89499999999998</v>
      </c>
    </row>
    <row r="30" spans="1:7" x14ac:dyDescent="0.3">
      <c r="A30" t="s">
        <v>6218</v>
      </c>
      <c r="C30" s="8">
        <v>3356.415</v>
      </c>
      <c r="D30" s="8">
        <v>3663.41</v>
      </c>
      <c r="E30" s="8">
        <v>2604.4550000000004</v>
      </c>
      <c r="F30" s="8">
        <v>2493.2649999999999</v>
      </c>
      <c r="G30" s="8">
        <v>12117.544999999998</v>
      </c>
    </row>
    <row r="31" spans="1:7" x14ac:dyDescent="0.3">
      <c r="A31" t="s">
        <v>6201</v>
      </c>
      <c r="B31" t="s">
        <v>6203</v>
      </c>
      <c r="C31" s="8">
        <v>258.34500000000003</v>
      </c>
      <c r="D31" s="8">
        <v>139.625</v>
      </c>
      <c r="E31" s="8">
        <v>279.52000000000004</v>
      </c>
      <c r="F31" s="8">
        <v>160.19499999999999</v>
      </c>
      <c r="G31" s="8">
        <v>837.68499999999995</v>
      </c>
    </row>
    <row r="32" spans="1:7" x14ac:dyDescent="0.3">
      <c r="B32" t="s">
        <v>6204</v>
      </c>
      <c r="C32" s="8">
        <v>342.2</v>
      </c>
      <c r="D32" s="8">
        <v>284.24999999999994</v>
      </c>
      <c r="E32" s="8">
        <v>251.83</v>
      </c>
      <c r="F32" s="8">
        <v>80.550000000000011</v>
      </c>
      <c r="G32" s="8">
        <v>958.82999999999993</v>
      </c>
    </row>
    <row r="33" spans="1:7" x14ac:dyDescent="0.3">
      <c r="B33" t="s">
        <v>6205</v>
      </c>
      <c r="C33" s="8">
        <v>418.30499999999989</v>
      </c>
      <c r="D33" s="8">
        <v>468.125</v>
      </c>
      <c r="E33" s="8">
        <v>405.05500000000006</v>
      </c>
      <c r="F33" s="8">
        <v>253.15499999999997</v>
      </c>
      <c r="G33" s="8">
        <v>1544.6399999999999</v>
      </c>
    </row>
    <row r="34" spans="1:7" x14ac:dyDescent="0.3">
      <c r="B34" t="s">
        <v>6206</v>
      </c>
      <c r="C34" s="8">
        <v>102.32999999999998</v>
      </c>
      <c r="D34" s="8">
        <v>242.14000000000001</v>
      </c>
      <c r="E34" s="8">
        <v>554.875</v>
      </c>
      <c r="F34" s="8">
        <v>106.23999999999998</v>
      </c>
      <c r="G34" s="8">
        <v>1005.585</v>
      </c>
    </row>
    <row r="35" spans="1:7" x14ac:dyDescent="0.3">
      <c r="B35" t="s">
        <v>6207</v>
      </c>
      <c r="C35" s="8">
        <v>234.71999999999997</v>
      </c>
      <c r="D35" s="8">
        <v>133.08000000000001</v>
      </c>
      <c r="E35" s="8">
        <v>267.2</v>
      </c>
      <c r="F35" s="8">
        <v>272.68999999999994</v>
      </c>
      <c r="G35" s="8">
        <v>907.68999999999994</v>
      </c>
    </row>
    <row r="36" spans="1:7" x14ac:dyDescent="0.3">
      <c r="B36" t="s">
        <v>6208</v>
      </c>
      <c r="C36" s="8">
        <v>430.39</v>
      </c>
      <c r="D36" s="8">
        <v>136.20500000000001</v>
      </c>
      <c r="E36" s="8">
        <v>209.6</v>
      </c>
      <c r="F36" s="8">
        <v>88.334999999999994</v>
      </c>
      <c r="G36" s="8">
        <v>864.53000000000009</v>
      </c>
    </row>
    <row r="37" spans="1:7" x14ac:dyDescent="0.3">
      <c r="B37" t="s">
        <v>6209</v>
      </c>
      <c r="C37" s="8">
        <v>109.005</v>
      </c>
      <c r="D37" s="8">
        <v>393.57499999999999</v>
      </c>
      <c r="E37" s="8">
        <v>61.034999999999997</v>
      </c>
      <c r="F37" s="8">
        <v>199.48999999999998</v>
      </c>
      <c r="G37" s="8">
        <v>763.10500000000002</v>
      </c>
    </row>
    <row r="38" spans="1:7" x14ac:dyDescent="0.3">
      <c r="B38" t="s">
        <v>6210</v>
      </c>
      <c r="C38" s="8">
        <v>287.52499999999998</v>
      </c>
      <c r="D38" s="8">
        <v>288.67</v>
      </c>
      <c r="E38" s="8">
        <v>125.58</v>
      </c>
      <c r="F38" s="8">
        <v>374.13499999999999</v>
      </c>
      <c r="G38" s="8">
        <v>1075.9099999999999</v>
      </c>
    </row>
    <row r="39" spans="1:7" x14ac:dyDescent="0.3">
      <c r="B39" t="s">
        <v>6211</v>
      </c>
      <c r="C39" s="8">
        <v>840.92999999999984</v>
      </c>
      <c r="D39" s="8">
        <v>409.875</v>
      </c>
      <c r="E39" s="8">
        <v>171.32999999999998</v>
      </c>
      <c r="F39" s="8">
        <v>221.43999999999997</v>
      </c>
      <c r="G39" s="8">
        <v>1643.5749999999998</v>
      </c>
    </row>
    <row r="40" spans="1:7" x14ac:dyDescent="0.3">
      <c r="B40" t="s">
        <v>6212</v>
      </c>
      <c r="C40" s="8">
        <v>299.07</v>
      </c>
      <c r="D40" s="8">
        <v>260.32499999999999</v>
      </c>
      <c r="E40" s="8">
        <v>584.64</v>
      </c>
      <c r="F40" s="8">
        <v>256.36500000000001</v>
      </c>
      <c r="G40" s="8">
        <v>1400.3999999999999</v>
      </c>
    </row>
    <row r="41" spans="1:7" x14ac:dyDescent="0.3">
      <c r="B41" t="s">
        <v>6213</v>
      </c>
      <c r="C41" s="8">
        <v>323.32499999999999</v>
      </c>
      <c r="D41" s="8">
        <v>565.57000000000005</v>
      </c>
      <c r="E41" s="8">
        <v>537.80999999999995</v>
      </c>
      <c r="F41" s="8">
        <v>189.47499999999999</v>
      </c>
      <c r="G41" s="8">
        <v>1616.1799999999998</v>
      </c>
    </row>
    <row r="42" spans="1:7" x14ac:dyDescent="0.3">
      <c r="B42" t="s">
        <v>6214</v>
      </c>
      <c r="C42" s="8">
        <v>399.48499999999996</v>
      </c>
      <c r="D42" s="8">
        <v>148.19999999999999</v>
      </c>
      <c r="E42" s="8">
        <v>388.21999999999997</v>
      </c>
      <c r="F42" s="8">
        <v>212.07499999999999</v>
      </c>
      <c r="G42" s="8">
        <v>1147.98</v>
      </c>
    </row>
    <row r="43" spans="1:7" x14ac:dyDescent="0.3">
      <c r="A43" t="s">
        <v>6219</v>
      </c>
      <c r="C43" s="8">
        <v>4045.63</v>
      </c>
      <c r="D43" s="8">
        <v>3469.64</v>
      </c>
      <c r="E43" s="8">
        <v>3836.6949999999997</v>
      </c>
      <c r="F43" s="8">
        <v>2414.145</v>
      </c>
      <c r="G43" s="8">
        <v>13766.109999999999</v>
      </c>
    </row>
    <row r="44" spans="1:7" x14ac:dyDescent="0.3">
      <c r="A44" t="s">
        <v>6202</v>
      </c>
      <c r="B44" t="s">
        <v>6203</v>
      </c>
      <c r="C44" s="8">
        <v>112.69499999999999</v>
      </c>
      <c r="D44" s="8">
        <v>166.32</v>
      </c>
      <c r="E44" s="8">
        <v>843.71499999999992</v>
      </c>
      <c r="F44" s="8">
        <v>146.685</v>
      </c>
      <c r="G44" s="8">
        <v>1269.415</v>
      </c>
    </row>
    <row r="45" spans="1:7" x14ac:dyDescent="0.3">
      <c r="B45" t="s">
        <v>6204</v>
      </c>
      <c r="C45" s="8">
        <v>114.87999999999998</v>
      </c>
      <c r="D45" s="8">
        <v>133.815</v>
      </c>
      <c r="E45" s="8">
        <v>91.175000000000011</v>
      </c>
      <c r="F45" s="8">
        <v>53.759999999999991</v>
      </c>
      <c r="G45" s="8">
        <v>393.63</v>
      </c>
    </row>
    <row r="46" spans="1:7" x14ac:dyDescent="0.3">
      <c r="B46" t="s">
        <v>6205</v>
      </c>
      <c r="C46" s="8">
        <v>277.76</v>
      </c>
      <c r="D46" s="8">
        <v>175.41</v>
      </c>
      <c r="E46" s="8">
        <v>462.50999999999993</v>
      </c>
      <c r="F46" s="8">
        <v>399.52499999999998</v>
      </c>
      <c r="G46" s="8">
        <v>1315.2049999999999</v>
      </c>
    </row>
    <row r="47" spans="1:7" x14ac:dyDescent="0.3">
      <c r="B47" t="s">
        <v>6206</v>
      </c>
      <c r="C47" s="8">
        <v>197.89499999999998</v>
      </c>
      <c r="D47" s="8">
        <v>289.755</v>
      </c>
      <c r="E47" s="8">
        <v>88.545000000000002</v>
      </c>
      <c r="F47" s="8">
        <v>200.25499999999997</v>
      </c>
      <c r="G47" s="8">
        <v>776.44999999999993</v>
      </c>
    </row>
    <row r="48" spans="1:7" x14ac:dyDescent="0.3">
      <c r="B48" t="s">
        <v>6207</v>
      </c>
      <c r="C48" s="8">
        <v>193.11499999999998</v>
      </c>
      <c r="D48" s="8">
        <v>212.49499999999998</v>
      </c>
      <c r="E48" s="8">
        <v>292.29000000000002</v>
      </c>
      <c r="F48" s="8">
        <v>304.46999999999997</v>
      </c>
      <c r="G48" s="8">
        <v>1002.3699999999999</v>
      </c>
    </row>
    <row r="49" spans="1:7" x14ac:dyDescent="0.3">
      <c r="B49" t="s">
        <v>6208</v>
      </c>
      <c r="C49" s="8">
        <v>179.79</v>
      </c>
      <c r="D49" s="8">
        <v>426.2</v>
      </c>
      <c r="E49" s="8">
        <v>170.08999999999997</v>
      </c>
      <c r="F49" s="8">
        <v>379.31</v>
      </c>
      <c r="G49" s="8">
        <v>1155.3899999999999</v>
      </c>
    </row>
    <row r="50" spans="1:7" x14ac:dyDescent="0.3">
      <c r="B50" t="s">
        <v>6209</v>
      </c>
      <c r="C50" s="8">
        <v>247.28999999999996</v>
      </c>
      <c r="D50" s="8">
        <v>246.685</v>
      </c>
      <c r="E50" s="8">
        <v>271.05499999999995</v>
      </c>
      <c r="F50" s="8">
        <v>141.69999999999999</v>
      </c>
      <c r="G50" s="8">
        <v>906.73</v>
      </c>
    </row>
    <row r="51" spans="1:7" x14ac:dyDescent="0.3">
      <c r="B51" t="s">
        <v>6210</v>
      </c>
      <c r="C51" s="8">
        <v>116.39499999999998</v>
      </c>
      <c r="D51" s="8">
        <v>41.25</v>
      </c>
      <c r="E51" s="8">
        <v>15.54</v>
      </c>
      <c r="F51" s="8">
        <v>71.06</v>
      </c>
      <c r="G51" s="8">
        <v>244.24499999999998</v>
      </c>
    </row>
    <row r="52" spans="1:7" x14ac:dyDescent="0.3">
      <c r="A52" t="s">
        <v>6220</v>
      </c>
      <c r="C52" s="8">
        <v>1439.82</v>
      </c>
      <c r="D52" s="8">
        <v>1691.9299999999998</v>
      </c>
      <c r="E52" s="8">
        <v>2234.9199999999996</v>
      </c>
      <c r="F52" s="8">
        <v>1696.7649999999999</v>
      </c>
      <c r="G52" s="8">
        <v>7063.4349999999986</v>
      </c>
    </row>
    <row r="53" spans="1:7" x14ac:dyDescent="0.3">
      <c r="A53" t="s">
        <v>6198</v>
      </c>
      <c r="C53" s="8">
        <v>11768.495000000003</v>
      </c>
      <c r="D53" s="8">
        <v>12306.440000000002</v>
      </c>
      <c r="E53" s="8">
        <v>12054.075000000003</v>
      </c>
      <c r="F53" s="8">
        <v>9005.244999999999</v>
      </c>
      <c r="G53" s="8">
        <v>45134.255000000005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1339-9F4C-49B6-A56F-503D21EBCF23}">
  <dimension ref="A3:B9"/>
  <sheetViews>
    <sheetView zoomScale="96" workbookViewId="0">
      <selection activeCell="A6" sqref="A4:A6"/>
    </sheetView>
  </sheetViews>
  <sheetFormatPr defaultRowHeight="14.4" x14ac:dyDescent="0.3"/>
  <cols>
    <col min="1" max="1" width="17.5546875" bestFit="1" customWidth="1"/>
    <col min="2" max="2" width="12.109375" bestFit="1" customWidth="1"/>
    <col min="3" max="5" width="25.6640625" bestFit="1" customWidth="1"/>
    <col min="6" max="7" width="14.33203125" bestFit="1" customWidth="1"/>
  </cols>
  <sheetData>
    <row r="3" spans="1:2" x14ac:dyDescent="0.3">
      <c r="A3" s="7" t="s">
        <v>4</v>
      </c>
      <c r="B3" t="s">
        <v>6225</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row r="9" spans="1:2" x14ac:dyDescent="0.3">
      <c r="A9" t="s">
        <v>6198</v>
      </c>
      <c r="B9" s="8">
        <v>1472.9099999999999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65DE-4262-43A3-BA2A-C61E19B1A860}">
  <dimension ref="A1"/>
  <sheetViews>
    <sheetView tabSelected="1" zoomScale="90" zoomScaleNormal="100" workbookViewId="0">
      <selection activeCell="W25" sqref="W25"/>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CountryBarChart</vt:lpstr>
      <vt:lpstr>orders</vt:lpstr>
      <vt:lpstr>customers</vt:lpstr>
      <vt:lpstr>products</vt:lpstr>
      <vt:lpstr>TotalSales</vt:lpstr>
      <vt:lpstr>CountryBarChart (2)</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Abhishek Tripathi</cp:lastModifiedBy>
  <cp:revision/>
  <dcterms:created xsi:type="dcterms:W3CDTF">2022-11-26T09:51:45Z</dcterms:created>
  <dcterms:modified xsi:type="dcterms:W3CDTF">2026-02-20T14:18:55Z</dcterms:modified>
  <cp:category/>
  <cp:contentStatus/>
</cp:coreProperties>
</file>